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ummary" sheetId="2" state="visible" r:id="rId2"/>
    <sheet name="Cast &amp; setup" sheetId="3" state="visible" r:id="rId3"/>
    <sheet name="Owner" sheetId="4" state="visible" r:id="rId4"/>
    <sheet name="Manager" sheetId="5" state="visible" r:id="rId5"/>
    <sheet name="Employee" sheetId="6" state="visible" r:id="rId6"/>
    <sheet name="HR reports and Excel downloads" sheetId="7" state="visible" r:id="rId7"/>
    <sheet name="Cross-cutting" sheetId="8" state="visible" r:id="rId8"/>
    <sheet name="Defects" sheetId="9" state="visible" r:id="rId9"/>
  </sheets>
  <definedNames>
    <definedName name="_xlnm._FilterDatabase" localSheetId="3" hidden="1">'Owner'!$A$1:$L$24</definedName>
    <definedName name="_xlnm._FilterDatabase" localSheetId="4" hidden="1">'Manager'!$A$1:$L$32</definedName>
    <definedName name="_xlnm._FilterDatabase" localSheetId="5" hidden="1">'Employee'!$A$1:$L$30</definedName>
    <definedName name="_xlnm._FilterDatabase" localSheetId="6" hidden="1">'HR reports and Excel downloads'!$A$1:$L$8</definedName>
    <definedName name="_xlnm._FilterDatabase" localSheetId="7" hidden="1">'Cross-cutting'!$A$1:$L$34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color rgb="00FFFFFF"/>
    </font>
    <font>
      <b val="1"/>
    </font>
  </fonts>
  <fills count="3">
    <fill>
      <patternFill/>
    </fill>
    <fill>
      <patternFill patternType="gray125"/>
    </fill>
    <fill>
      <patternFill patternType="solid">
        <fgColor rgb="001E3A8A"/>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9" fontId="0" fillId="0" borderId="0" pivotButton="0" quotePrefix="0" xfId="0"/>
    <xf numFmtId="0" fontId="4" fillId="0" borderId="0" pivotButton="0" quotePrefix="0" xfId="0"/>
    <xf numFmtId="0" fontId="0" fillId="0" borderId="0" applyAlignment="1" pivotButton="0" quotePrefix="0" xfId="0">
      <alignment vertical="top" wrapText="1"/>
    </xf>
    <xf numFmtId="0" fontId="0" fillId="0"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dxfs count="3">
    <dxf>
      <fill>
        <patternFill patternType="solid">
          <bgColor rgb="00C6EFCE"/>
        </patternFill>
      </fill>
    </dxf>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30" customWidth="1" min="1" max="1"/>
  </cols>
  <sheetData>
    <row r="1">
      <c r="A1" s="1" t="inlineStr">
        <is>
          <t>UAT - company management and service app</t>
        </is>
      </c>
    </row>
    <row r="2">
      <c r="A2" s="2" t="inlineStr"/>
    </row>
    <row r="3">
      <c r="A3" s="2" t="inlineStr">
        <is>
          <t>1. Fill your name, the device and the browser on the 'Cast &amp; setup' sheet.</t>
        </is>
      </c>
    </row>
    <row r="4">
      <c r="A4" s="2" t="inlineStr">
        <is>
          <t>2. Run the Owner sheet first (UAT-OWN-01 to 05 create the people), then Manager, Employee and Cross-cutting.</t>
        </is>
      </c>
    </row>
    <row r="5">
      <c r="A5" s="2" t="inlineStr">
        <is>
          <t>3. For each scenario do the steps, then write what happened in 'Actual result' and choose Pass / Fail / Blocked / N/A in the 'Result' column.</t>
        </is>
      </c>
    </row>
    <row r="6">
      <c r="A6" s="2" t="inlineStr">
        <is>
          <t>4. For every Fail also add a line on the 'Defects' sheet (what, how to repeat it, how bad). A Fail with a clear Actual result is enough to start with.</t>
        </is>
      </c>
    </row>
    <row r="7">
      <c r="A7" s="2" t="inlineStr">
        <is>
          <t>5. The 'Summary' sheet counts the results by itself. Sign-off is at the bottom of 'Summary'.</t>
        </is>
      </c>
    </row>
    <row r="8">
      <c r="A8" s="2" t="inlineStr"/>
    </row>
    <row r="9">
      <c r="A9" s="2" t="inlineStr">
        <is>
          <t>Severity: Blocker = cannot continue or data is wrong/lost or someone sees what they must not. Major = a workflow does not work but there is a workaround. Minor = works but is awkward or unclear. Cosmetic = looks wrong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8" customWidth="1" min="1" max="1"/>
    <col width="11" customWidth="1" min="2" max="2"/>
    <col width="9" customWidth="1" min="3" max="3"/>
    <col width="9" customWidth="1" min="4" max="4"/>
    <col width="9" customWidth="1" min="5" max="5"/>
    <col width="9" customWidth="1" min="6" max="6"/>
    <col width="9" customWidth="1" min="7" max="7"/>
    <col width="9" customWidth="1" min="8" max="8"/>
  </cols>
  <sheetData>
    <row r="1">
      <c r="A1" s="3" t="inlineStr">
        <is>
          <t>Sheet</t>
        </is>
      </c>
      <c r="B1" s="3" t="inlineStr">
        <is>
          <t>Scenarios</t>
        </is>
      </c>
      <c r="C1" s="3" t="inlineStr">
        <is>
          <t>Pass</t>
        </is>
      </c>
      <c r="D1" s="3" t="inlineStr">
        <is>
          <t>Fail</t>
        </is>
      </c>
      <c r="E1" s="3" t="inlineStr">
        <is>
          <t>Blocked</t>
        </is>
      </c>
      <c r="F1" s="3" t="inlineStr">
        <is>
          <t>N/A</t>
        </is>
      </c>
      <c r="G1" s="3" t="inlineStr">
        <is>
          <t>Not run</t>
        </is>
      </c>
      <c r="H1" s="3" t="inlineStr">
        <is>
          <t>% done</t>
        </is>
      </c>
    </row>
    <row r="2">
      <c r="A2" t="inlineStr">
        <is>
          <t>Owner</t>
        </is>
      </c>
      <c r="B2" t="n">
        <v>23</v>
      </c>
      <c r="C2">
        <f>COUNTIF('Owner'!I2:I24,"Pass")</f>
        <v/>
      </c>
      <c r="D2">
        <f>COUNTIF('Owner'!I2:I24,"Fail")</f>
        <v/>
      </c>
      <c r="E2">
        <f>COUNTIF('Owner'!I2:I24,"Blocked")</f>
        <v/>
      </c>
      <c r="F2">
        <f>COUNTIF('Owner'!I2:I24,"N/A")</f>
        <v/>
      </c>
      <c r="G2">
        <f>B2-SUM(C2:F2)</f>
        <v/>
      </c>
      <c r="H2" s="4">
        <f>IF(B2=0,0,SUM(C2:F2)/B2)</f>
        <v/>
      </c>
    </row>
    <row r="3">
      <c r="A3" t="inlineStr">
        <is>
          <t>Manager</t>
        </is>
      </c>
      <c r="B3" t="n">
        <v>31</v>
      </c>
      <c r="C3">
        <f>COUNTIF('Manager'!I2:I32,"Pass")</f>
        <v/>
      </c>
      <c r="D3">
        <f>COUNTIF('Manager'!I2:I32,"Fail")</f>
        <v/>
      </c>
      <c r="E3">
        <f>COUNTIF('Manager'!I2:I32,"Blocked")</f>
        <v/>
      </c>
      <c r="F3">
        <f>COUNTIF('Manager'!I2:I32,"N/A")</f>
        <v/>
      </c>
      <c r="G3">
        <f>B3-SUM(C3:F3)</f>
        <v/>
      </c>
      <c r="H3" s="4">
        <f>IF(B3=0,0,SUM(C3:F3)/B3)</f>
        <v/>
      </c>
    </row>
    <row r="4">
      <c r="A4" t="inlineStr">
        <is>
          <t>Employee</t>
        </is>
      </c>
      <c r="B4" t="n">
        <v>29</v>
      </c>
      <c r="C4">
        <f>COUNTIF('Employee'!I2:I30,"Pass")</f>
        <v/>
      </c>
      <c r="D4">
        <f>COUNTIF('Employee'!I2:I30,"Fail")</f>
        <v/>
      </c>
      <c r="E4">
        <f>COUNTIF('Employee'!I2:I30,"Blocked")</f>
        <v/>
      </c>
      <c r="F4">
        <f>COUNTIF('Employee'!I2:I30,"N/A")</f>
        <v/>
      </c>
      <c r="G4">
        <f>B4-SUM(C4:F4)</f>
        <v/>
      </c>
      <c r="H4" s="4">
        <f>IF(B4=0,0,SUM(C4:F4)/B4)</f>
        <v/>
      </c>
    </row>
    <row r="5">
      <c r="A5" t="inlineStr">
        <is>
          <t>HR reports and Excel downloads</t>
        </is>
      </c>
      <c r="B5" t="n">
        <v>7</v>
      </c>
      <c r="C5">
        <f>COUNTIF('HR reports and Excel downloads'!I2:I8,"Pass")</f>
        <v/>
      </c>
      <c r="D5">
        <f>COUNTIF('HR reports and Excel downloads'!I2:I8,"Fail")</f>
        <v/>
      </c>
      <c r="E5">
        <f>COUNTIF('HR reports and Excel downloads'!I2:I8,"Blocked")</f>
        <v/>
      </c>
      <c r="F5">
        <f>COUNTIF('HR reports and Excel downloads'!I2:I8,"N/A")</f>
        <v/>
      </c>
      <c r="G5">
        <f>B5-SUM(C5:F5)</f>
        <v/>
      </c>
      <c r="H5" s="4">
        <f>IF(B5=0,0,SUM(C5:F5)/B5)</f>
        <v/>
      </c>
    </row>
    <row r="6">
      <c r="A6" t="inlineStr">
        <is>
          <t>Cross-cutting</t>
        </is>
      </c>
      <c r="B6" t="n">
        <v>33</v>
      </c>
      <c r="C6">
        <f>COUNTIF('Cross-cutting'!I2:I34,"Pass")</f>
        <v/>
      </c>
      <c r="D6">
        <f>COUNTIF('Cross-cutting'!I2:I34,"Fail")</f>
        <v/>
      </c>
      <c r="E6">
        <f>COUNTIF('Cross-cutting'!I2:I34,"Blocked")</f>
        <v/>
      </c>
      <c r="F6">
        <f>COUNTIF('Cross-cutting'!I2:I34,"N/A")</f>
        <v/>
      </c>
      <c r="G6">
        <f>B6-SUM(C6:F6)</f>
        <v/>
      </c>
      <c r="H6" s="4">
        <f>IF(B6=0,0,SUM(C6:F6)/B6)</f>
        <v/>
      </c>
    </row>
    <row r="7">
      <c r="A7" s="5" t="inlineStr">
        <is>
          <t>Total</t>
        </is>
      </c>
      <c r="B7" s="5">
        <f>SUM(B2:B6)</f>
        <v/>
      </c>
      <c r="C7" s="5">
        <f>SUM(C2:C6)</f>
        <v/>
      </c>
      <c r="D7" s="5">
        <f>SUM(D2:D6)</f>
        <v/>
      </c>
      <c r="E7" s="5">
        <f>SUM(E2:E6)</f>
        <v/>
      </c>
      <c r="F7" s="5">
        <f>SUM(F2:F6)</f>
        <v/>
      </c>
      <c r="G7" s="5">
        <f>SUM(G2:G6)</f>
        <v/>
      </c>
      <c r="H7" s="4">
        <f>IF(B7=0,0,SUM(C7:F7)/B7)</f>
        <v/>
      </c>
    </row>
    <row r="9">
      <c r="A9" s="5" t="inlineStr">
        <is>
          <t>Open blockers</t>
        </is>
      </c>
      <c r="B9">
        <f>COUNTIFS(Defects!C2:C200,"Blocker",Defects!H2:H200,"Open")</f>
        <v/>
      </c>
    </row>
    <row r="10">
      <c r="A10" s="5" t="inlineStr">
        <is>
          <t>Open majors</t>
        </is>
      </c>
      <c r="B10">
        <f>COUNTIFS(Defects!C2:C200,"Major",Defects!H2:H200,"Open")</f>
        <v/>
      </c>
    </row>
    <row r="12" ht="45" customHeight="1">
      <c r="A12" s="6" t="inlineStr">
        <is>
          <t>Exit criteria (agree before starting): no open Blocker, no open Major without an agreed workaround, every scenario run (Pass, or Fail with a defect, or N/A with a reason).</t>
        </is>
      </c>
    </row>
    <row r="14">
      <c r="A14" s="5" t="inlineStr">
        <is>
          <t>Sign-off</t>
        </is>
      </c>
    </row>
    <row r="15">
      <c r="A15" s="5" t="inlineStr">
        <is>
          <t>Accepted / not accepted</t>
        </is>
      </c>
      <c r="B15" s="7" t="n"/>
      <c r="C15" s="8" t="n"/>
      <c r="D15" s="8" t="n"/>
      <c r="E15" s="9" t="n"/>
    </row>
    <row r="16">
      <c r="A16" s="5" t="inlineStr">
        <is>
          <t>Name</t>
        </is>
      </c>
      <c r="B16" s="7" t="n"/>
      <c r="C16" s="8" t="n"/>
      <c r="D16" s="8" t="n"/>
      <c r="E16" s="9" t="n"/>
    </row>
    <row r="17">
      <c r="A17" s="5" t="inlineStr">
        <is>
          <t>Role</t>
        </is>
      </c>
      <c r="B17" s="7" t="n"/>
      <c r="C17" s="8" t="n"/>
      <c r="D17" s="8" t="n"/>
      <c r="E17" s="9" t="n"/>
    </row>
    <row r="18">
      <c r="A18" s="5" t="inlineStr">
        <is>
          <t>Date</t>
        </is>
      </c>
      <c r="B18" s="7" t="n"/>
      <c r="C18" s="8" t="n"/>
      <c r="D18" s="8" t="n"/>
      <c r="E18" s="9" t="n"/>
    </row>
    <row r="19">
      <c r="A19" s="5" t="inlineStr">
        <is>
          <t>Signature</t>
        </is>
      </c>
      <c r="B19" s="7" t="n"/>
      <c r="C19" s="8" t="n"/>
      <c r="D19" s="8" t="n"/>
      <c r="E19" s="9" t="n"/>
    </row>
  </sheetData>
  <mergeCells count="6">
    <mergeCell ref="A12:H12"/>
    <mergeCell ref="B17:E17"/>
    <mergeCell ref="B18:E18"/>
    <mergeCell ref="B16:E16"/>
    <mergeCell ref="B15:E15"/>
    <mergeCell ref="B19:E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4" customWidth="1" min="1" max="1"/>
    <col width="22" customWidth="1" min="2" max="2"/>
    <col width="12" customWidth="1" min="3" max="3"/>
    <col width="18" customWidth="1" min="4" max="4"/>
    <col width="20" customWidth="1" min="5" max="5"/>
    <col width="55" customWidth="1" min="6" max="6"/>
    <col width="40" customWidth="1" min="7" max="7"/>
  </cols>
  <sheetData>
    <row r="1">
      <c r="A1" s="3" t="inlineStr">
        <is>
          <t>Employee ID</t>
        </is>
      </c>
      <c r="B1" s="3" t="inlineStr">
        <is>
          <t>Name</t>
        </is>
      </c>
      <c r="C1" s="3" t="inlineStr">
        <is>
          <t>Role</t>
        </is>
      </c>
      <c r="D1" s="3" t="inlineStr">
        <is>
          <t>Reports to</t>
        </is>
      </c>
      <c r="E1" s="3" t="inlineStr">
        <is>
          <t>Designation</t>
        </is>
      </c>
      <c r="F1" s="3" t="inlineStr">
        <is>
          <t>Used for</t>
        </is>
      </c>
      <c r="G1" s="3" t="inlineStr">
        <is>
          <t>Temporary password (write it here, then change)</t>
        </is>
      </c>
    </row>
    <row r="2">
      <c r="A2" s="10" t="inlineStr">
        <is>
          <t>OWN001</t>
        </is>
      </c>
      <c r="B2" s="10" t="inlineStr">
        <is>
          <t>Company Owner</t>
        </is>
      </c>
      <c r="C2" s="10" t="inlineStr">
        <is>
          <t>Owner</t>
        </is>
      </c>
      <c r="D2" s="10" t="inlineStr">
        <is>
          <t>-</t>
        </is>
      </c>
      <c r="E2" s="10" t="inlineStr">
        <is>
          <t>Owner</t>
        </is>
      </c>
      <c r="F2" s="10" t="inlineStr">
        <is>
          <t>created at installation (python -m scripts.seed_owner)</t>
        </is>
      </c>
      <c r="G2" s="10" t="inlineStr"/>
    </row>
    <row r="3">
      <c r="A3" s="10" t="inlineStr">
        <is>
          <t>UAT-MGR1</t>
        </is>
      </c>
      <c r="B3" s="10" t="inlineStr">
        <is>
          <t>Meera Manager</t>
        </is>
      </c>
      <c r="C3" s="10" t="inlineStr">
        <is>
          <t>Manager</t>
        </is>
      </c>
      <c r="D3" s="10" t="inlineStr">
        <is>
          <t>Owner</t>
        </is>
      </c>
      <c r="E3" s="10" t="inlineStr">
        <is>
          <t>Service Manager</t>
        </is>
      </c>
      <c r="F3" s="10" t="inlineStr">
        <is>
          <t>the manager under test; owns the main branch</t>
        </is>
      </c>
      <c r="G3" s="10" t="inlineStr"/>
    </row>
    <row r="4">
      <c r="A4" s="10" t="inlineStr">
        <is>
          <t>UAT-MGR2</t>
        </is>
      </c>
      <c r="B4" s="10" t="inlineStr">
        <is>
          <t>Bharat Manager</t>
        </is>
      </c>
      <c r="C4" s="10" t="inlineStr">
        <is>
          <t>Manager</t>
        </is>
      </c>
      <c r="D4" s="10" t="inlineStr">
        <is>
          <t>Owner</t>
        </is>
      </c>
      <c r="E4" s="10" t="inlineStr">
        <is>
          <t>Plant Manager</t>
        </is>
      </c>
      <c r="F4" s="10" t="inlineStr">
        <is>
          <t>the PEER manager: proves one branch cannot see the other</t>
        </is>
      </c>
      <c r="G4" s="10" t="inlineStr"/>
    </row>
    <row r="5">
      <c r="A5" s="10" t="inlineStr">
        <is>
          <t>UAT-EMP1</t>
        </is>
      </c>
      <c r="B5" s="10" t="inlineStr">
        <is>
          <t>Ravi Engineer</t>
        </is>
      </c>
      <c r="C5" s="10" t="inlineStr">
        <is>
          <t>Employee</t>
        </is>
      </c>
      <c r="D5" s="10" t="inlineStr">
        <is>
          <t>Meera Manager</t>
        </is>
      </c>
      <c r="E5" s="10" t="inlineStr">
        <is>
          <t>Service Engineer</t>
        </is>
      </c>
      <c r="F5" s="10" t="inlineStr">
        <is>
          <t>the main employee under test (work, leave, EOD, punch, service calls)</t>
        </is>
      </c>
      <c r="G5" s="10" t="inlineStr"/>
    </row>
    <row r="6">
      <c r="A6" s="10" t="inlineStr">
        <is>
          <t>UAT-EMP2</t>
        </is>
      </c>
      <c r="B6" s="10" t="inlineStr">
        <is>
          <t>Sunita Technician</t>
        </is>
      </c>
      <c r="C6" s="10" t="inlineStr">
        <is>
          <t>Employee</t>
        </is>
      </c>
      <c r="D6" s="10" t="inlineStr">
        <is>
          <t>Meera Manager</t>
        </is>
      </c>
      <c r="E6" s="10" t="inlineStr">
        <is>
          <t>Technician</t>
        </is>
      </c>
      <c r="F6" s="10" t="inlineStr">
        <is>
          <t>a second employee in Meera's branch (colleague)</t>
        </is>
      </c>
      <c r="G6" s="10" t="inlineStr"/>
    </row>
    <row r="7">
      <c r="A7" s="10" t="inlineStr">
        <is>
          <t>UAT-EMP3</t>
        </is>
      </c>
      <c r="B7" s="10" t="inlineStr">
        <is>
          <t>Imran Operator</t>
        </is>
      </c>
      <c r="C7" s="10" t="inlineStr">
        <is>
          <t>Employee</t>
        </is>
      </c>
      <c r="D7" s="10" t="inlineStr">
        <is>
          <t>Bharat Manager</t>
        </is>
      </c>
      <c r="E7" s="10" t="inlineStr">
        <is>
          <t>Machine Operator</t>
        </is>
      </c>
      <c r="F7" s="10" t="inlineStr">
        <is>
          <t>an employee in the OTHER branch</t>
        </is>
      </c>
      <c r="G7" s="10" t="inlineStr"/>
    </row>
    <row r="10">
      <c r="A10" s="5" t="inlineStr">
        <is>
          <t>Business data used by the scenarios</t>
        </is>
      </c>
    </row>
    <row r="11">
      <c r="A11" s="3" t="inlineStr">
        <is>
          <t>Item</t>
        </is>
      </c>
      <c r="B11" s="3" t="inlineStr">
        <is>
          <t>Details</t>
        </is>
      </c>
    </row>
    <row r="12">
      <c r="A12" s="10" t="inlineStr">
        <is>
          <t>Customer</t>
        </is>
      </c>
      <c r="B12" s="10" t="inlineStr">
        <is>
          <t>Acme Forgings (code CU-001), address "Plot 9, Peenya, Bengaluru", contact Priya Nair, phone +91 98450 00000</t>
        </is>
      </c>
    </row>
    <row r="13">
      <c r="A13" s="10" t="inlineStr">
        <is>
          <t>Machine</t>
        </is>
      </c>
      <c r="B13" s="10" t="inlineStr">
        <is>
          <t>VMC-850, code MC-001, serial SN-5521, belongs to Acme Forgings</t>
        </is>
      </c>
    </row>
    <row r="14">
      <c r="A14" s="10" t="inlineStr">
        <is>
          <t>Second customer</t>
        </is>
      </c>
      <c r="B14" s="10" t="inlineStr">
        <is>
          <t>Zenith Castings (code CU-002) with machine HMC-500 (MC-002) - created by Bharat Manager</t>
        </is>
      </c>
    </row>
    <row r="15">
      <c r="A15" s="10" t="inlineStr">
        <is>
          <t>Project</t>
        </is>
      </c>
      <c r="B15" s="10" t="inlineStr">
        <is>
          <t>"Line 3 upgrade" (created by Meera Manager)</t>
        </is>
      </c>
    </row>
    <row r="16">
      <c r="A16" s="10" t="inlineStr">
        <is>
          <t>Task</t>
        </is>
      </c>
      <c r="B16" s="10" t="inlineStr">
        <is>
          <t>"Calibrate press line 3" (assigned to Ravi Engineer)</t>
        </is>
      </c>
    </row>
    <row r="17">
      <c r="A17" s="10" t="inlineStr">
        <is>
          <t>Service call</t>
        </is>
      </c>
      <c r="B17" s="10" t="inlineStr">
        <is>
          <t>SC-2001 "Spindle vibrates" (Acme Forgings / VMC-850, urgent, field visit)</t>
        </is>
      </c>
    </row>
    <row r="18">
      <c r="A18" s="10" t="inlineStr">
        <is>
          <t>Files for upload</t>
        </is>
      </c>
      <c r="B18" s="10" t="inlineStr">
        <is>
          <t>one small PNG or JPG photo, one PDF, one .txt, and one file named virus.exe (any content)</t>
        </is>
      </c>
    </row>
    <row r="21">
      <c r="A21" s="5" t="inlineStr">
        <is>
          <t>Tester</t>
        </is>
      </c>
    </row>
    <row r="22">
      <c r="A22" s="5" t="inlineStr">
        <is>
          <t>Tester name</t>
        </is>
      </c>
      <c r="B22" s="7" t="n"/>
      <c r="C22" s="8" t="n"/>
      <c r="D22" s="9" t="n"/>
    </row>
    <row r="23">
      <c r="A23" s="5" t="inlineStr">
        <is>
          <t>Role under test</t>
        </is>
      </c>
      <c r="B23" s="7" t="n"/>
      <c r="C23" s="8" t="n"/>
      <c r="D23" s="9" t="n"/>
    </row>
    <row r="24">
      <c r="A24" s="5" t="inlineStr">
        <is>
          <t>Device and model</t>
        </is>
      </c>
      <c r="B24" s="7" t="n"/>
      <c r="C24" s="8" t="n"/>
      <c r="D24" s="9" t="n"/>
    </row>
    <row r="25">
      <c r="A25" s="5" t="inlineStr">
        <is>
          <t>Browser and version</t>
        </is>
      </c>
      <c r="B25" s="7" t="n"/>
      <c r="C25" s="8" t="n"/>
      <c r="D25" s="9" t="n"/>
    </row>
    <row r="26">
      <c r="A26" s="5" t="inlineStr">
        <is>
          <t>Date started</t>
        </is>
      </c>
      <c r="B26" s="7" t="n"/>
      <c r="C26" s="8" t="n"/>
      <c r="D26" s="9" t="n"/>
    </row>
    <row r="27">
      <c r="A27" s="5" t="inlineStr">
        <is>
          <t>Web address used</t>
        </is>
      </c>
      <c r="B27" s="7" t="n"/>
      <c r="C27" s="8" t="n"/>
      <c r="D27" s="9" t="n"/>
    </row>
  </sheetData>
  <mergeCells count="6">
    <mergeCell ref="B23:D23"/>
    <mergeCell ref="B22:D22"/>
    <mergeCell ref="B26:D26"/>
    <mergeCell ref="B27:D27"/>
    <mergeCell ref="B25:D25"/>
    <mergeCell ref="B24:D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4" customWidth="1" min="3" max="3"/>
    <col width="9" customWidth="1" min="4" max="4"/>
    <col width="30" customWidth="1" min="5" max="5"/>
    <col width="62" customWidth="1" min="6" max="6"/>
    <col width="62" customWidth="1" min="7" max="7"/>
    <col width="40" customWidth="1" min="8" max="8"/>
    <col width="11" customWidth="1" min="9" max="9"/>
    <col width="30" customWidth="1" min="10" max="10"/>
    <col width="12" customWidth="1" min="11" max="11"/>
    <col width="12" customWidth="1" min="12" max="12"/>
  </cols>
  <sheetData>
    <row r="1">
      <c r="A1" s="3" t="inlineStr">
        <is>
          <t>Test ID</t>
        </is>
      </c>
      <c r="B1" s="3" t="inlineStr">
        <is>
          <t>Role</t>
        </is>
      </c>
      <c r="C1" s="3" t="inlineStr">
        <is>
          <t>Area</t>
        </is>
      </c>
      <c r="D1" s="3" t="inlineStr">
        <is>
          <t>Device</t>
        </is>
      </c>
      <c r="E1" s="3" t="inlineStr">
        <is>
          <t>Scenario</t>
        </is>
      </c>
      <c r="F1" s="3" t="inlineStr">
        <is>
          <t>Steps</t>
        </is>
      </c>
      <c r="G1" s="3" t="inlineStr">
        <is>
          <t>Expected result</t>
        </is>
      </c>
      <c r="H1" s="3" t="inlineStr">
        <is>
          <t>Actual result</t>
        </is>
      </c>
      <c r="I1" s="3" t="inlineStr">
        <is>
          <t>Result</t>
        </is>
      </c>
      <c r="J1" s="3" t="inlineStr">
        <is>
          <t>Notes</t>
        </is>
      </c>
      <c r="K1" s="3" t="inlineStr">
        <is>
          <t>Tester</t>
        </is>
      </c>
      <c r="L1" s="3" t="inlineStr">
        <is>
          <t>Date</t>
        </is>
      </c>
    </row>
    <row r="2">
      <c r="A2" s="11" t="inlineStr">
        <is>
          <t>UAT-OWN-01</t>
        </is>
      </c>
      <c r="B2" s="10" t="inlineStr">
        <is>
          <t>Owner</t>
        </is>
      </c>
      <c r="C2" s="10" t="inlineStr">
        <is>
          <t>Login</t>
        </is>
      </c>
      <c r="D2" s="10" t="inlineStr"/>
      <c r="E2" s="11" t="inlineStr">
        <is>
          <t>First sign-in of the Owner and forced password change</t>
        </is>
      </c>
      <c r="F2" s="10" t="inlineStr">
        <is>
          <t>1. Open the site on a desktop browser.
2. Sign in as OWN001 with the temporary password you were given.
3. On "Change your password" enter the temporary password as the current one, then a new password (at least 8 characters, not a common word, not containing OWN001), and confirm it.
4. Submit.</t>
        </is>
      </c>
      <c r="G2" s="10" t="inlineStr">
        <is>
          <t>- Right after sign-in you are taken to the change-password page and cannot open anything else (typing /tasks in the address bar returns here).
- A weak password such as "password123" or one containing "OWN001" is refused with a clear message.
- After a valid change you land on "Company overview" and the menu shows: Company overview, Company tasks, Attendance, Leave requests, EOD reports, Projects, Team calendar, Service calls, Customers, Machines, Reports, Attendance analytics, Users &amp; hierarchy, Permissions, Company settings, Audit trail.</t>
        </is>
      </c>
      <c r="H2" s="10" t="inlineStr"/>
      <c r="I2" s="10" t="inlineStr"/>
      <c r="J2" s="10" t="inlineStr"/>
      <c r="K2" s="10" t="inlineStr"/>
      <c r="L2" s="10" t="inlineStr"/>
    </row>
    <row r="3">
      <c r="A3" s="11" t="inlineStr">
        <is>
          <t>UAT-OWN-02</t>
        </is>
      </c>
      <c r="B3" s="10" t="inlineStr">
        <is>
          <t>Owner</t>
        </is>
      </c>
      <c r="C3" s="10" t="inlineStr">
        <is>
          <t>Users</t>
        </is>
      </c>
      <c r="D3" s="10" t="inlineStr"/>
      <c r="E3" s="11" t="inlineStr">
        <is>
          <t>Create the two managers</t>
        </is>
      </c>
      <c r="F3" s="10" t="inlineStr">
        <is>
          <t>1. Open "Users &amp; hierarchy" and click "Add a person".
2. Create UAT-MGR1 / Meera Manager / Service Manager / Role Manager / Reports to Company Owner / a temporary password (8+ characters, not containing the ID).
3. Repeat for UAT-MGR2 / Bharat Manager / Plant Manager.</t>
        </is>
      </c>
      <c r="G3" s="10" t="inlineStr">
        <is>
          <t>- Each person appears on their own page (heading = the name) and in the People list as Active, Role Manager.
- Trying the same Employee ID twice is refused ("already in use").</t>
        </is>
      </c>
      <c r="H3" s="10" t="inlineStr"/>
      <c r="I3" s="10" t="inlineStr"/>
      <c r="J3" s="10" t="inlineStr"/>
      <c r="K3" s="10" t="inlineStr"/>
      <c r="L3" s="10" t="inlineStr"/>
    </row>
    <row r="4">
      <c r="A4" s="11" t="inlineStr">
        <is>
          <t>UAT-OWN-03</t>
        </is>
      </c>
      <c r="B4" s="10" t="inlineStr">
        <is>
          <t>Owner</t>
        </is>
      </c>
      <c r="C4" s="10" t="inlineStr">
        <is>
          <t>Users</t>
        </is>
      </c>
      <c r="D4" s="10" t="inlineStr"/>
      <c r="E4" s="11" t="inlineStr">
        <is>
          <t>Create the three employees under the right managers</t>
        </is>
      </c>
      <c r="F4" s="10" t="inlineStr">
        <is>
          <t>1. Add UAT-EMP1 Ravi Engineer (Service Engineer) reporting to Meera Manager.
2. Add UAT-EMP2 Sunita Technician (Technician) reporting to Meera Manager.
3. Add UAT-EMP3 Imran Operator (Machine Operator) reporting to Bharat Manager.
4. Write each temporary password in the tester sheet ("Cast &amp; setup").</t>
        </is>
      </c>
      <c r="G4" s="10" t="inlineStr">
        <is>
          <t>- All three exist as Active employees with the correct "Reports to".
- The People list can be searched by name, ID or designation and filtered by Role, Reports to and Status.</t>
        </is>
      </c>
      <c r="H4" s="10" t="inlineStr"/>
      <c r="I4" s="10" t="inlineStr"/>
      <c r="J4" s="10" t="inlineStr"/>
      <c r="K4" s="10" t="inlineStr"/>
      <c r="L4" s="10" t="inlineStr"/>
    </row>
    <row r="5">
      <c r="A5" s="11" t="inlineStr">
        <is>
          <t>UAT-OWN-04</t>
        </is>
      </c>
      <c r="B5" s="10" t="inlineStr">
        <is>
          <t>Owner</t>
        </is>
      </c>
      <c r="C5" s="10" t="inlineStr">
        <is>
          <t>Hierarchy</t>
        </is>
      </c>
      <c r="D5" s="10" t="inlineStr"/>
      <c r="E5" s="11" t="inlineStr">
        <is>
          <t>Reporting structure view</t>
        </is>
      </c>
      <c r="F5" s="10" t="inlineStr">
        <is>
          <t>1. On "Users &amp; hierarchy" open the "Reporting structure" tab.</t>
        </is>
      </c>
      <c r="G5" s="10" t="inlineStr">
        <is>
          <t>- A tree shows Company Owner at the top, then Meera and Bharat, with their employees underneath, matching what you created.</t>
        </is>
      </c>
      <c r="H5" s="10" t="inlineStr"/>
      <c r="I5" s="10" t="inlineStr"/>
      <c r="J5" s="10" t="inlineStr"/>
      <c r="K5" s="10" t="inlineStr"/>
      <c r="L5" s="10" t="inlineStr"/>
    </row>
    <row r="6">
      <c r="A6" s="11" t="inlineStr">
        <is>
          <t>UAT-OWN-05</t>
        </is>
      </c>
      <c r="B6" s="10" t="inlineStr">
        <is>
          <t>Owner</t>
        </is>
      </c>
      <c r="C6" s="10" t="inlineStr">
        <is>
          <t>Hierarchy</t>
        </is>
      </c>
      <c r="D6" s="10" t="inlineStr"/>
      <c r="E6" s="11" t="inlineStr">
        <is>
          <t>Move an employee to another manager and back</t>
        </is>
      </c>
      <c r="F6" s="10" t="inlineStr">
        <is>
          <t>1. Open Sunita Technician's page and click "Change manager".
2. Choose Bharat Manager and Save.
3. Check the Reporting structure tab.
4. Move her back to Meera Manager.</t>
        </is>
      </c>
      <c r="G6" s="10" t="inlineStr">
        <is>
          <t>- After the first move Sunita appears under Bharat; "Reports to" on her page says Bharat Manager.
- After moving back she is under Meera again.
- Both changes appear in the Audit trail as "Manager changed".</t>
        </is>
      </c>
      <c r="H6" s="10" t="inlineStr"/>
      <c r="I6" s="10" t="inlineStr"/>
      <c r="J6" s="10" t="inlineStr"/>
      <c r="K6" s="10" t="inlineStr"/>
      <c r="L6" s="10" t="inlineStr"/>
    </row>
    <row r="7">
      <c r="A7" s="11" t="inlineStr">
        <is>
          <t>UAT-OWN-06</t>
        </is>
      </c>
      <c r="B7" s="10" t="inlineStr">
        <is>
          <t>Owner</t>
        </is>
      </c>
      <c r="C7" s="10" t="inlineStr">
        <is>
          <t>Hierarchy</t>
        </is>
      </c>
      <c r="D7" s="10" t="inlineStr"/>
      <c r="E7" s="11" t="inlineStr">
        <is>
          <t>A reporting loop is impossible</t>
        </is>
      </c>
      <c r="F7" s="10" t="inlineStr">
        <is>
          <t>1. Open Meera Manager's page, click "Change manager" and look at the "Reports to" list.</t>
        </is>
      </c>
      <c r="G7" s="10" t="inlineStr">
        <is>
          <t>- Only people who are NOT below Meera are offered (Bharat Manager, Company Owner, "No manager"): Ravi and Sunita, who report to her, are not in the list, so a loop cannot be created. (The server refuses it as well if forced.)</t>
        </is>
      </c>
      <c r="H7" s="10" t="inlineStr"/>
      <c r="I7" s="10" t="inlineStr"/>
      <c r="J7" s="10" t="inlineStr"/>
      <c r="K7" s="10" t="inlineStr"/>
      <c r="L7" s="10" t="inlineStr"/>
    </row>
    <row r="8">
      <c r="A8" s="11" t="inlineStr">
        <is>
          <t>UAT-OWN-07</t>
        </is>
      </c>
      <c r="B8" s="10" t="inlineStr">
        <is>
          <t>Owner</t>
        </is>
      </c>
      <c r="C8" s="10" t="inlineStr">
        <is>
          <t>Roles</t>
        </is>
      </c>
      <c r="D8" s="10" t="inlineStr"/>
      <c r="E8" s="11" t="inlineStr">
        <is>
          <t>Change a role both ways</t>
        </is>
      </c>
      <c r="F8" s="10" t="inlineStr">
        <is>
          <t>1. Open Imran Operator's page, "Change role", choose Manager, confirm.
2. Check his menu is that of a manager by signing in as him later, or check the People list shows Role Manager.
3. Change him back to Employee ("Make employee").</t>
        </is>
      </c>
      <c r="G8" s="10" t="inlineStr">
        <is>
          <t>- Imran shows as Manager, then as Employee again.
- Changing a manager who still has people reporting to them back to Employee shows a warning that those people need a new manager first.</t>
        </is>
      </c>
      <c r="H8" s="10" t="inlineStr"/>
      <c r="I8" s="10" t="inlineStr"/>
      <c r="J8" s="10" t="inlineStr"/>
      <c r="K8" s="10" t="inlineStr"/>
      <c r="L8" s="10" t="inlineStr"/>
    </row>
    <row r="9">
      <c r="A9" s="11" t="inlineStr">
        <is>
          <t>UAT-OWN-08</t>
        </is>
      </c>
      <c r="B9" s="10" t="inlineStr">
        <is>
          <t>Owner</t>
        </is>
      </c>
      <c r="C9" s="10" t="inlineStr">
        <is>
          <t>Users</t>
        </is>
      </c>
      <c r="D9" s="10" t="inlineStr"/>
      <c r="E9" s="11" t="inlineStr">
        <is>
          <t>Deactivate and reactivate a person</t>
        </is>
      </c>
      <c r="F9" s="10" t="inlineStr">
        <is>
          <t>1. Create a throwaway employee UAT-TEMP1, then open their page and click "Deactivate" and confirm.
2. In a private window try to sign in as UAT-TEMP1.
3. Back as Owner click "Reactivate" and confirm; sign in again as UAT-TEMP1.</t>
        </is>
      </c>
      <c r="G9" s="10" t="inlineStr">
        <is>
          <t>- The person shows "Inactive"; sign-in is refused with the usual "Invalid employee ID or password" style message.
- After reactivation sign-in works again. Their past records were never removed.</t>
        </is>
      </c>
      <c r="H9" s="10" t="inlineStr"/>
      <c r="I9" s="10" t="inlineStr"/>
      <c r="J9" s="10" t="inlineStr"/>
      <c r="K9" s="10" t="inlineStr"/>
      <c r="L9" s="10" t="inlineStr"/>
    </row>
    <row r="10">
      <c r="A10" s="11" t="inlineStr">
        <is>
          <t>UAT-OWN-09</t>
        </is>
      </c>
      <c r="B10" s="10" t="inlineStr">
        <is>
          <t>Owner</t>
        </is>
      </c>
      <c r="C10" s="10" t="inlineStr">
        <is>
          <t>Users</t>
        </is>
      </c>
      <c r="D10" s="10" t="inlineStr"/>
      <c r="E10" s="11" t="inlineStr">
        <is>
          <t>Reset someone's password</t>
        </is>
      </c>
      <c r="F10" s="10" t="inlineStr">
        <is>
          <t>1. Open Ravi Engineer's page, click "Reset password", enter a new temporary password and confirm.
2. Sign in as UAT-EMP1 with the OLD password, then the new temporary one.</t>
        </is>
      </c>
      <c r="G10" s="10" t="inlineStr">
        <is>
          <t>- The old password no longer works; the temporary one works and forces "Change your password" before anything else.
- Any session Ravi already had open is taken to the change-password page. The reset is in the Audit trail.</t>
        </is>
      </c>
      <c r="H10" s="10" t="inlineStr"/>
      <c r="I10" s="10" t="inlineStr"/>
      <c r="J10" s="10" t="inlineStr"/>
      <c r="K10" s="10" t="inlineStr"/>
      <c r="L10" s="10" t="inlineStr"/>
    </row>
    <row r="11">
      <c r="A11" s="11" t="inlineStr">
        <is>
          <t>UAT-OWN-10</t>
        </is>
      </c>
      <c r="B11" s="10" t="inlineStr">
        <is>
          <t>Owner</t>
        </is>
      </c>
      <c r="C11" s="10" t="inlineStr">
        <is>
          <t>Permissions</t>
        </is>
      </c>
      <c r="D11" s="10" t="inlineStr"/>
      <c r="E11" s="11" t="inlineStr">
        <is>
          <t>Let one manager SEE the other manager's reports (Allow)</t>
        </is>
      </c>
      <c r="F11" s="10" t="inlineStr">
        <is>
          <t>1. First note that signed in as Meera Manager the Team tasks list shows only her own branch's tasks (ask Bharat to give Imran a task first).
2. As Owner open "Permissions" &gt; "Add a permission": Manager = Meera Manager, Permission = "See another manager's reports", Effect = Allow, whose reports = Bharat Manager. Save ("Add permission").
3. As Meera open Team tasks, EOD reports and Team attendance.</t>
        </is>
      </c>
      <c r="G11" s="10" t="inlineStr">
        <is>
          <t>- The new permission appears in the Permissions list as Allowed with the right names.
- Meera now also sees Bharat's branch's tasks, EOD reports and attendance - read only: she has no Edit / Reassign / Save status buttons on them.</t>
        </is>
      </c>
      <c r="H11" s="10" t="inlineStr"/>
      <c r="I11" s="10" t="inlineStr"/>
      <c r="J11" s="10" t="inlineStr"/>
      <c r="K11" s="10" t="inlineStr"/>
      <c r="L11" s="10" t="inlineStr"/>
    </row>
    <row r="12">
      <c r="A12" s="11" t="inlineStr">
        <is>
          <t>UAT-OWN-11</t>
        </is>
      </c>
      <c r="B12" s="10" t="inlineStr">
        <is>
          <t>Owner</t>
        </is>
      </c>
      <c r="C12" s="10" t="inlineStr">
        <is>
          <t>Permissions</t>
        </is>
      </c>
      <c r="D12" s="10" t="inlineStr"/>
      <c r="E12" s="11" t="inlineStr">
        <is>
          <t>A restriction (Deny) beats an Allow</t>
        </is>
      </c>
      <c r="F12" s="10" t="inlineStr">
        <is>
          <t>1. With the Allow from the previous test still in place, add a second permission for Meera: the same permission and target but Effect = "Deny (a restriction that wins over anything else)" ("Add restriction").
2. As Meera refresh Team tasks.</t>
        </is>
      </c>
      <c r="G12" s="10" t="inlineStr">
        <is>
          <t>- Both rows are listed (Allowed and Denied); Meera sees nothing of Bharat's branch again.</t>
        </is>
      </c>
      <c r="H12" s="10" t="inlineStr"/>
      <c r="I12" s="10" t="inlineStr"/>
      <c r="J12" s="10" t="inlineStr"/>
      <c r="K12" s="10" t="inlineStr"/>
      <c r="L12" s="10" t="inlineStr"/>
    </row>
    <row r="13">
      <c r="A13" s="11" t="inlineStr">
        <is>
          <t>UAT-OWN-12</t>
        </is>
      </c>
      <c r="B13" s="10" t="inlineStr">
        <is>
          <t>Owner</t>
        </is>
      </c>
      <c r="C13" s="10" t="inlineStr">
        <is>
          <t>Permissions</t>
        </is>
      </c>
      <c r="D13" s="10" t="inlineStr"/>
      <c r="E13" s="11" t="inlineStr">
        <is>
          <t>Revoke - the access really goes</t>
        </is>
      </c>
      <c r="F13" s="10" t="inlineStr">
        <is>
          <t>1. Click "Revoke" on each row and confirm "Revoke this permission?".
2. As Meera refresh Team tasks.</t>
        </is>
      </c>
      <c r="G13" s="10" t="inlineStr">
        <is>
          <t>- The rows disappear; Meera sees only her own branch. (Revoking the Allow alone, with no restriction in place, also removes her access immediately.)</t>
        </is>
      </c>
      <c r="H13" s="10" t="inlineStr"/>
      <c r="I13" s="10" t="inlineStr"/>
      <c r="J13" s="10" t="inlineStr"/>
      <c r="K13" s="10" t="inlineStr"/>
      <c r="L13" s="10" t="inlineStr"/>
    </row>
    <row r="14">
      <c r="A14" s="11" t="inlineStr">
        <is>
          <t>UAT-OWN-13</t>
        </is>
      </c>
      <c r="B14" s="10" t="inlineStr">
        <is>
          <t>Owner</t>
        </is>
      </c>
      <c r="C14" s="10" t="inlineStr">
        <is>
          <t>Permissions</t>
        </is>
      </c>
      <c r="D14" s="10" t="inlineStr"/>
      <c r="E14" s="11" t="inlineStr">
        <is>
          <t>The same permission cannot be added twice</t>
        </is>
      </c>
      <c r="F14" s="10" t="inlineStr">
        <is>
          <t>1. Add the same permission (same manager, same target, same Allow) twice.</t>
        </is>
      </c>
      <c r="G14" s="10" t="inlineStr">
        <is>
          <t>- The second attempt is refused ("This exact permission is already in place"); only one row exists, and one revoke removes the access.</t>
        </is>
      </c>
      <c r="H14" s="10" t="inlineStr"/>
      <c r="I14" s="10" t="inlineStr"/>
      <c r="J14" s="10" t="inlineStr"/>
      <c r="K14" s="10" t="inlineStr"/>
      <c r="L14" s="10" t="inlineStr"/>
    </row>
    <row r="15">
      <c r="A15" s="11" t="inlineStr">
        <is>
          <t>UAT-OWN-14</t>
        </is>
      </c>
      <c r="B15" s="10" t="inlineStr">
        <is>
          <t>Owner</t>
        </is>
      </c>
      <c r="C15" s="10" t="inlineStr">
        <is>
          <t>Permissions</t>
        </is>
      </c>
      <c r="D15" s="10" t="inlineStr"/>
      <c r="E15" s="11" t="inlineStr">
        <is>
          <t>Project-level permission</t>
        </is>
      </c>
      <c r="F15" s="10" t="inlineStr">
        <is>
          <t>1. Meera creates a project "Line 3 upgrade" (see UAT-MGR-12). As Owner add the permission "Edit a project they do not own" for Bharat Manager, choosing that project.
2. As Bharat open the project and edit its description; then try another of Meera's projects.</t>
        </is>
      </c>
      <c r="G15" s="10" t="inlineStr">
        <is>
          <t>- Bharat can edit exactly that one project and no other of Meera's projects. Revoking removes his access.</t>
        </is>
      </c>
      <c r="H15" s="10" t="inlineStr"/>
      <c r="I15" s="10" t="inlineStr"/>
      <c r="J15" s="10" t="inlineStr"/>
      <c r="K15" s="10" t="inlineStr"/>
      <c r="L15" s="10" t="inlineStr"/>
    </row>
    <row r="16">
      <c r="A16" s="11" t="inlineStr">
        <is>
          <t>UAT-OWN-15</t>
        </is>
      </c>
      <c r="B16" s="10" t="inlineStr">
        <is>
          <t>Owner</t>
        </is>
      </c>
      <c r="C16" s="10" t="inlineStr">
        <is>
          <t>Projects</t>
        </is>
      </c>
      <c r="D16" s="10" t="inlineStr"/>
      <c r="E16" s="11" t="inlineStr">
        <is>
          <t>Company-wide projects, archive and restore</t>
        </is>
      </c>
      <c r="F16" s="10" t="inlineStr">
        <is>
          <t>1. Open "Projects" (shows every project in the company).
2. Open "Line 3 upgrade" and click "Archive", confirm.
3. Click "Restore".</t>
        </is>
      </c>
      <c r="G16" s="10" t="inlineStr">
        <is>
          <t>- The Owner sees projects of both branches. Archived projects show an "Archived" label and can be restored; nothing is deleted.</t>
        </is>
      </c>
      <c r="H16" s="10" t="inlineStr"/>
      <c r="I16" s="10" t="inlineStr"/>
      <c r="J16" s="10" t="inlineStr"/>
      <c r="K16" s="10" t="inlineStr"/>
      <c r="L16" s="10" t="inlineStr"/>
    </row>
    <row r="17">
      <c r="A17" s="11" t="inlineStr">
        <is>
          <t>UAT-OWN-16</t>
        </is>
      </c>
      <c r="B17" s="10" t="inlineStr">
        <is>
          <t>Owner</t>
        </is>
      </c>
      <c r="C17" s="10" t="inlineStr">
        <is>
          <t>Tasks</t>
        </is>
      </c>
      <c r="D17" s="10" t="inlineStr"/>
      <c r="E17" s="11" t="inlineStr">
        <is>
          <t>Company tasks and assigning to anyone</t>
        </is>
      </c>
      <c r="F17" s="10" t="inlineStr">
        <is>
          <t>1. Open "Company tasks" and click "Assign a task".
2. Assign "Owner follow-up" to Bharat Manager (a manager) and another task to Imran.</t>
        </is>
      </c>
      <c r="G17" s="10" t="inlineStr">
        <is>
          <t>- The Owner can pick anyone in the company. The tasks appear in Company tasks with "Assigned by You".</t>
        </is>
      </c>
      <c r="H17" s="10" t="inlineStr"/>
      <c r="I17" s="10" t="inlineStr"/>
      <c r="J17" s="10" t="inlineStr"/>
      <c r="K17" s="10" t="inlineStr"/>
      <c r="L17" s="10" t="inlineStr"/>
    </row>
    <row r="18">
      <c r="A18" s="11" t="inlineStr">
        <is>
          <t>UAT-OWN-17</t>
        </is>
      </c>
      <c r="B18" s="10" t="inlineStr">
        <is>
          <t>Owner</t>
        </is>
      </c>
      <c r="C18" s="10" t="inlineStr">
        <is>
          <t>Leave</t>
        </is>
      </c>
      <c r="D18" s="10" t="inlineStr"/>
      <c r="E18" s="11" t="inlineStr">
        <is>
          <t>Decide leave of any branch</t>
        </is>
      </c>
      <c r="F18" s="10" t="inlineStr">
        <is>
          <t>1. After UAT-EMP-11 and UAT-MGR-17 have created requests, open "Leave requests" and approve one from each branch.</t>
        </is>
      </c>
      <c r="G18" s="10" t="inlineStr">
        <is>
          <t>- The Owner sees requests of both branches (Waiting on = the employee's manager) and may approve or reject any of them. A manager's own leave is waiting on the Owner.</t>
        </is>
      </c>
      <c r="H18" s="10" t="inlineStr"/>
      <c r="I18" s="10" t="inlineStr"/>
      <c r="J18" s="10" t="inlineStr"/>
      <c r="K18" s="10" t="inlineStr"/>
      <c r="L18" s="10" t="inlineStr"/>
    </row>
    <row r="19">
      <c r="A19" s="11" t="inlineStr">
        <is>
          <t>UAT-OWN-18</t>
        </is>
      </c>
      <c r="B19" s="10" t="inlineStr">
        <is>
          <t>Owner</t>
        </is>
      </c>
      <c r="C19" s="10" t="inlineStr">
        <is>
          <t>Reports</t>
        </is>
      </c>
      <c r="D19" s="10" t="inlineStr"/>
      <c r="E19" s="11" t="inlineStr">
        <is>
          <t>Company-wide reports</t>
        </is>
      </c>
      <c r="F19" s="10" t="inlineStr">
        <is>
          <t>1. Open "Reports".
2. Change the period (Today / Last 7 days / Last 30 days / This month / Custom).
3. Filter by Manager and by Project.
4. Open "View as table" under a chart and sort a table by clicking a column heading.</t>
        </is>
      </c>
      <c r="G19" s="10" t="inlineStr">
        <is>
          <t>- Daily check lists who has not punched in and who has not sent an EOD report today.
- Attendance, Tasks by status, Leave by status, Projects, Service activity and Workload sections show company-wide numbers that agree with the lists you have seen.
- Charts have a table alternative; tables sort.</t>
        </is>
      </c>
      <c r="H19" s="10" t="inlineStr"/>
      <c r="I19" s="10" t="inlineStr"/>
      <c r="J19" s="10" t="inlineStr"/>
      <c r="K19" s="10" t="inlineStr"/>
      <c r="L19" s="10" t="inlineStr"/>
    </row>
    <row r="20">
      <c r="A20" s="11" t="inlineStr">
        <is>
          <t>UAT-OWN-19</t>
        </is>
      </c>
      <c r="B20" s="10" t="inlineStr">
        <is>
          <t>Owner</t>
        </is>
      </c>
      <c r="C20" s="10" t="inlineStr">
        <is>
          <t>Audit</t>
        </is>
      </c>
      <c r="D20" s="10" t="inlineStr"/>
      <c r="E20" s="11" t="inlineStr">
        <is>
          <t>The audit trail records what you did</t>
        </is>
      </c>
      <c r="F20" s="10" t="inlineStr">
        <is>
          <t>1. Open "Audit trail".
2. Filter by Record type = Person, then by Done by = yourself, then by a date range, then type permission.granted in Action.
3. Click "Details" on an entry.</t>
        </is>
      </c>
      <c r="G20" s="10" t="inlineStr">
        <is>
          <t>- Entries are newest first with who / what / record / time (company time).
- The user creations, role change, manager changes, password reset, deactivation, permission grant and revoke from this session are all there.
- Details shows before / after values for changes. Entries cannot be edited or deleted.</t>
        </is>
      </c>
      <c r="H20" s="10" t="inlineStr"/>
      <c r="I20" s="10" t="inlineStr"/>
      <c r="J20" s="10" t="inlineStr"/>
      <c r="K20" s="10" t="inlineStr"/>
      <c r="L20" s="10" t="inlineStr"/>
    </row>
    <row r="21">
      <c r="A21" s="11" t="inlineStr">
        <is>
          <t>UAT-OWN-20</t>
        </is>
      </c>
      <c r="B21" s="10" t="inlineStr">
        <is>
          <t>Owner</t>
        </is>
      </c>
      <c r="C21" s="10" t="inlineStr">
        <is>
          <t>Administration</t>
        </is>
      </c>
      <c r="D21" s="10" t="inlineStr"/>
      <c r="E21" s="11" t="inlineStr">
        <is>
          <t>Customers and machines: create, edit, deactivate</t>
        </is>
      </c>
      <c r="F21" s="10" t="inlineStr">
        <is>
          <t>1. Open "Customers" &gt; "Add a customer": Acme Forgings, CU-001 with the address and a contact.
2. Open the customer, "Add machine": VMC-850, MC-001, serial SN-5521.
3. Edit the customer's address.
4. Deactivate the machine and reactivate it.</t>
        </is>
      </c>
      <c r="G21" s="10" t="inlineStr">
        <is>
          <t>- The customer shows its contacts, machines and service history. Only the Owner sees the deactivate / reactivate buttons.
- "Open in Maps" opens the address in a new tab.</t>
        </is>
      </c>
      <c r="H21" s="10" t="inlineStr"/>
      <c r="I21" s="10" t="inlineStr"/>
      <c r="J21" s="10" t="inlineStr"/>
      <c r="K21" s="10" t="inlineStr"/>
      <c r="L21" s="10" t="inlineStr"/>
    </row>
    <row r="22">
      <c r="A22" s="11" t="inlineStr">
        <is>
          <t>UAT-OWN-21</t>
        </is>
      </c>
      <c r="B22" s="10" t="inlineStr">
        <is>
          <t>Owner</t>
        </is>
      </c>
      <c r="C22" s="10" t="inlineStr">
        <is>
          <t>Administration</t>
        </is>
      </c>
      <c r="D22" s="10" t="inlineStr"/>
      <c r="E22" s="11" t="inlineStr">
        <is>
          <t>Service calls overview and responsibility</t>
        </is>
      </c>
      <c r="F22" s="10" t="inlineStr">
        <is>
          <t>1. Open "Service calls" (every call of the company), open one and change who is responsible (Edit call &gt; Responsible manager).</t>
        </is>
      </c>
      <c r="G22" s="10" t="inlineStr">
        <is>
          <t>- The Owner sees the summary tiles (Active calls, New not yet assigned, Resolved or closed, Average time to resolve) and calls of both branches; only the Owner can change the responsible manager.</t>
        </is>
      </c>
      <c r="H22" s="10" t="inlineStr"/>
      <c r="I22" s="10" t="inlineStr"/>
      <c r="J22" s="10" t="inlineStr"/>
      <c r="K22" s="10" t="inlineStr"/>
      <c r="L22" s="10" t="inlineStr"/>
    </row>
    <row r="23">
      <c r="A23" s="11" t="inlineStr">
        <is>
          <t>UAT-OWN-22</t>
        </is>
      </c>
      <c r="B23" s="10" t="inlineStr">
        <is>
          <t>Owner</t>
        </is>
      </c>
      <c r="C23" s="10" t="inlineStr">
        <is>
          <t>Administration</t>
        </is>
      </c>
      <c r="D23" s="10" t="inlineStr"/>
      <c r="E23" s="11" t="inlineStr">
        <is>
          <t>Owner menu is not available to others</t>
        </is>
      </c>
      <c r="F23" s="10" t="inlineStr">
        <is>
          <t>1. Sign in as Meera Manager and, in the address bar, open /permissions, /audit-logs, and Ravi's /users/&lt;id&gt;.</t>
        </is>
      </c>
      <c r="G23" s="10" t="inlineStr">
        <is>
          <t>- Each shows "Not available"; the manager's menu never lists Permissions or Audit trail.</t>
        </is>
      </c>
      <c r="H23" s="10" t="inlineStr"/>
      <c r="I23" s="10" t="inlineStr"/>
      <c r="J23" s="10" t="inlineStr"/>
      <c r="K23" s="10" t="inlineStr"/>
      <c r="L23" s="10" t="inlineStr"/>
    </row>
    <row r="24">
      <c r="A24" s="11" t="inlineStr">
        <is>
          <t>UAT-OWN-23</t>
        </is>
      </c>
      <c r="B24" s="10" t="inlineStr">
        <is>
          <t>Owner</t>
        </is>
      </c>
      <c r="C24" s="10" t="inlineStr">
        <is>
          <t>Administration</t>
        </is>
      </c>
      <c r="D24" s="10" t="inlineStr"/>
      <c r="E24" s="11" t="inlineStr">
        <is>
          <t>Profile and own password</t>
        </is>
      </c>
      <c r="F24" s="10" t="inlineStr">
        <is>
          <t>1. Open the account menu (top right) &gt; "My profile".
2. Open "Change password" and change it, then sign out and in with the new one.</t>
        </is>
      </c>
      <c r="G24" s="10" t="inlineStr">
        <is>
          <t>- The profile shows ID, name, role. The new password works; the old one does not.</t>
        </is>
      </c>
      <c r="H24" s="10" t="inlineStr"/>
      <c r="I24" s="10" t="inlineStr"/>
      <c r="J24" s="10" t="inlineStr"/>
      <c r="K24" s="10" t="inlineStr"/>
      <c r="L24" s="10" t="inlineStr"/>
    </row>
  </sheetData>
  <autoFilter ref="A1:L24"/>
  <conditionalFormatting sqref="I2:I24">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24" showDropDown="0" showInputMessage="0" showErrorMessage="0" allowBlank="1" type="list">
      <formula1>"Pass,Fail,Blocked,N/A"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4" customWidth="1" min="3" max="3"/>
    <col width="9" customWidth="1" min="4" max="4"/>
    <col width="30" customWidth="1" min="5" max="5"/>
    <col width="62" customWidth="1" min="6" max="6"/>
    <col width="62" customWidth="1" min="7" max="7"/>
    <col width="40" customWidth="1" min="8" max="8"/>
    <col width="11" customWidth="1" min="9" max="9"/>
    <col width="30" customWidth="1" min="10" max="10"/>
    <col width="12" customWidth="1" min="11" max="11"/>
    <col width="12" customWidth="1" min="12" max="12"/>
  </cols>
  <sheetData>
    <row r="1">
      <c r="A1" s="3" t="inlineStr">
        <is>
          <t>Test ID</t>
        </is>
      </c>
      <c r="B1" s="3" t="inlineStr">
        <is>
          <t>Role</t>
        </is>
      </c>
      <c r="C1" s="3" t="inlineStr">
        <is>
          <t>Area</t>
        </is>
      </c>
      <c r="D1" s="3" t="inlineStr">
        <is>
          <t>Device</t>
        </is>
      </c>
      <c r="E1" s="3" t="inlineStr">
        <is>
          <t>Scenario</t>
        </is>
      </c>
      <c r="F1" s="3" t="inlineStr">
        <is>
          <t>Steps</t>
        </is>
      </c>
      <c r="G1" s="3" t="inlineStr">
        <is>
          <t>Expected result</t>
        </is>
      </c>
      <c r="H1" s="3" t="inlineStr">
        <is>
          <t>Actual result</t>
        </is>
      </c>
      <c r="I1" s="3" t="inlineStr">
        <is>
          <t>Result</t>
        </is>
      </c>
      <c r="J1" s="3" t="inlineStr">
        <is>
          <t>Notes</t>
        </is>
      </c>
      <c r="K1" s="3" t="inlineStr">
        <is>
          <t>Tester</t>
        </is>
      </c>
      <c r="L1" s="3" t="inlineStr">
        <is>
          <t>Date</t>
        </is>
      </c>
    </row>
    <row r="2">
      <c r="A2" s="11" t="inlineStr">
        <is>
          <t>UAT-MGR-01</t>
        </is>
      </c>
      <c r="B2" s="10" t="inlineStr">
        <is>
          <t>Manager</t>
        </is>
      </c>
      <c r="C2" s="10" t="inlineStr">
        <is>
          <t>Login</t>
        </is>
      </c>
      <c r="D2" s="10" t="inlineStr"/>
      <c r="E2" s="11" t="inlineStr">
        <is>
          <t>Manager signs in and sees the manager menu</t>
        </is>
      </c>
      <c r="F2" s="10" t="inlineStr">
        <is>
          <t>1. Sign in as UAT-MGR1 (change the temporary password when asked).</t>
        </is>
      </c>
      <c r="G2" s="10" t="inlineStr">
        <is>
          <t>- Landing page is the team overview ("Hello, Meera"); menu: Team overview, Team tasks, Team attendance, Leave approvals, EOD reports, Projects, Team calendar, Service calls, Customers, Machines, Reports, My team. No Permissions or Audit trail.</t>
        </is>
      </c>
      <c r="H2" s="10" t="inlineStr"/>
      <c r="I2" s="10" t="inlineStr"/>
      <c r="J2" s="10" t="inlineStr"/>
      <c r="K2" s="10" t="inlineStr"/>
      <c r="L2" s="10" t="inlineStr"/>
    </row>
    <row r="3">
      <c r="A3" s="11" t="inlineStr">
        <is>
          <t>UAT-MGR-02</t>
        </is>
      </c>
      <c r="B3" s="10" t="inlineStr">
        <is>
          <t>Manager</t>
        </is>
      </c>
      <c r="C3" s="10" t="inlineStr">
        <is>
          <t>Team</t>
        </is>
      </c>
      <c r="D3" s="10" t="inlineStr"/>
      <c r="E3" s="11" t="inlineStr">
        <is>
          <t>Team overview dashboard</t>
        </is>
      </c>
      <c r="F3" s="10" t="inlineStr">
        <is>
          <t>1. Read the tiles and cards on "Team overview".
2. Click a tile (for example "Leave requests pending").</t>
        </is>
      </c>
      <c r="G3" s="10" t="inlineStr">
        <is>
          <t>- Tiles show People in my team, Open team tasks, Blocked tasks, Leave requests pending, Punched in today, Active service calls; "On leave today" and "Tasks by status" cards.
- Numbers match the lists they open. Only Meera's branch is counted.</t>
        </is>
      </c>
      <c r="H3" s="10" t="inlineStr"/>
      <c r="I3" s="10" t="inlineStr"/>
      <c r="J3" s="10" t="inlineStr"/>
      <c r="K3" s="10" t="inlineStr"/>
      <c r="L3" s="10" t="inlineStr"/>
    </row>
    <row r="4">
      <c r="A4" s="11" t="inlineStr">
        <is>
          <t>UAT-MGR-03</t>
        </is>
      </c>
      <c r="B4" s="10" t="inlineStr">
        <is>
          <t>Manager</t>
        </is>
      </c>
      <c r="C4" s="10" t="inlineStr">
        <is>
          <t>Team</t>
        </is>
      </c>
      <c r="D4" s="10" t="inlineStr"/>
      <c r="E4" s="11" t="inlineStr">
        <is>
          <t>My team list and a person's page</t>
        </is>
      </c>
      <c r="F4" s="10" t="inlineStr">
        <is>
          <t>1. Open "My team" (People tab). Search "Ravi". Filter by Status.
2. Open Ravi Engineer's page.</t>
        </is>
      </c>
      <c r="G4" s="10" t="inlineStr">
        <is>
          <t>- Only Meera, Ravi and Sunita are listed - never Bharat or Imran. The person page shows profile, extra permissions, recent tasks and the buttons "Assign a task", "Edit profile", "Reset password".</t>
        </is>
      </c>
      <c r="H4" s="10" t="inlineStr"/>
      <c r="I4" s="10" t="inlineStr"/>
      <c r="J4" s="10" t="inlineStr"/>
      <c r="K4" s="10" t="inlineStr"/>
      <c r="L4" s="10" t="inlineStr"/>
    </row>
    <row r="5">
      <c r="A5" s="11" t="inlineStr">
        <is>
          <t>UAT-MGR-04</t>
        </is>
      </c>
      <c r="B5" s="10" t="inlineStr">
        <is>
          <t>Manager</t>
        </is>
      </c>
      <c r="C5" s="10" t="inlineStr">
        <is>
          <t>Team</t>
        </is>
      </c>
      <c r="D5" s="10" t="inlineStr"/>
      <c r="E5" s="11" t="inlineStr">
        <is>
          <t>Edit a team member's profile and reset their password</t>
        </is>
      </c>
      <c r="F5" s="10" t="inlineStr">
        <is>
          <t>1. On Ravi's page click "Edit profile", change the designation, Save.
2. Click "Reset password", set a temporary password and confirm.</t>
        </is>
      </c>
      <c r="G5" s="10" t="inlineStr">
        <is>
          <t>- The designation updates. A message says the temporary password is set and Ravi is signed out everywhere.
- There is NO way for a manager to change Ravi's role, manager or active status (those buttons do not exist).</t>
        </is>
      </c>
      <c r="H5" s="10" t="inlineStr"/>
      <c r="I5" s="10" t="inlineStr"/>
      <c r="J5" s="10" t="inlineStr"/>
      <c r="K5" s="10" t="inlineStr"/>
      <c r="L5" s="10" t="inlineStr"/>
    </row>
    <row r="6">
      <c r="A6" s="11" t="inlineStr">
        <is>
          <t>UAT-MGR-05</t>
        </is>
      </c>
      <c r="B6" s="10" t="inlineStr">
        <is>
          <t>Manager</t>
        </is>
      </c>
      <c r="C6" s="10" t="inlineStr">
        <is>
          <t>Team</t>
        </is>
      </c>
      <c r="D6" s="10" t="inlineStr"/>
      <c r="E6" s="11" t="inlineStr">
        <is>
          <t>Reporting structure tab</t>
        </is>
      </c>
      <c r="F6" s="10" t="inlineStr">
        <is>
          <t>1. On "My team" open "Reporting structure".</t>
        </is>
      </c>
      <c r="G6" s="10" t="inlineStr">
        <is>
          <t>- A tree of the manager's branch only.</t>
        </is>
      </c>
      <c r="H6" s="10" t="inlineStr"/>
      <c r="I6" s="10" t="inlineStr"/>
      <c r="J6" s="10" t="inlineStr"/>
      <c r="K6" s="10" t="inlineStr"/>
      <c r="L6" s="10" t="inlineStr"/>
    </row>
    <row r="7">
      <c r="A7" s="11" t="inlineStr">
        <is>
          <t>UAT-MGR-06</t>
        </is>
      </c>
      <c r="B7" s="10" t="inlineStr">
        <is>
          <t>Manager</t>
        </is>
      </c>
      <c r="C7" s="10" t="inlineStr">
        <is>
          <t>Task assignment</t>
        </is>
      </c>
      <c r="D7" s="10" t="inlineStr"/>
      <c r="E7" s="11" t="inlineStr">
        <is>
          <t>Assign a task to an employee</t>
        </is>
      </c>
      <c r="F7" s="10" t="inlineStr">
        <is>
          <t>1. Open "Team tasks" &gt; "Assign a task".
2. Title "Calibrate press line 3", Assign to Ravi Engineer, Priority High, Task date today, Due date today.
3. Click "Assign task".</t>
        </is>
      </c>
      <c r="G7" s="10" t="inlineStr">
        <is>
          <t>- "Task assigned." appears and the task is in the list with Ravi, High, Not started. The people offered in "Assign to" are only the manager's own branch.</t>
        </is>
      </c>
      <c r="H7" s="10" t="inlineStr"/>
      <c r="I7" s="10" t="inlineStr"/>
      <c r="J7" s="10" t="inlineStr"/>
      <c r="K7" s="10" t="inlineStr"/>
      <c r="L7" s="10" t="inlineStr"/>
    </row>
    <row r="8">
      <c r="A8" s="11" t="inlineStr">
        <is>
          <t>UAT-MGR-07</t>
        </is>
      </c>
      <c r="B8" s="10" t="inlineStr">
        <is>
          <t>Manager</t>
        </is>
      </c>
      <c r="C8" s="10" t="inlineStr">
        <is>
          <t>Task assignment</t>
        </is>
      </c>
      <c r="D8" s="10" t="inlineStr"/>
      <c r="E8" s="11" t="inlineStr">
        <is>
          <t>Task form checks</t>
        </is>
      </c>
      <c r="F8" s="10" t="inlineStr">
        <is>
          <t>1. Open "Assign a task" and click "Assign task" without filling anything.
2. Set Due date earlier than Task date.</t>
        </is>
      </c>
      <c r="G8" s="10" t="inlineStr">
        <is>
          <t>- "Give the task a title." and "Choose who this task is for." are shown.
- "The due date cannot be before the task date."</t>
        </is>
      </c>
      <c r="H8" s="10" t="inlineStr"/>
      <c r="I8" s="10" t="inlineStr"/>
      <c r="J8" s="10" t="inlineStr"/>
      <c r="K8" s="10" t="inlineStr"/>
      <c r="L8" s="10" t="inlineStr"/>
    </row>
    <row r="9">
      <c r="A9" s="11" t="inlineStr">
        <is>
          <t>UAT-MGR-08</t>
        </is>
      </c>
      <c r="B9" s="10" t="inlineStr">
        <is>
          <t>Manager</t>
        </is>
      </c>
      <c r="C9" s="10" t="inlineStr">
        <is>
          <t>Task assignment</t>
        </is>
      </c>
      <c r="D9" s="10" t="inlineStr"/>
      <c r="E9" s="11" t="inlineStr">
        <is>
          <t>Edit, reassign and change status of a team task</t>
        </is>
      </c>
      <c r="F9" s="10" t="inlineStr">
        <is>
          <t>1. Open the task. Click "Edit task", change the priority, Save.
2. Click "Reassign" and move it to Sunita Technician.
3. Change status to Blocked and "Save status".
4. Look at the History card.</t>
        </is>
      </c>
      <c r="G9" s="10" t="inlineStr">
        <is>
          <t>- Each change succeeds and History lists who changed what and when (in company time). The task's "Assigned to" is now Sunita.</t>
        </is>
      </c>
      <c r="H9" s="10" t="inlineStr"/>
      <c r="I9" s="10" t="inlineStr"/>
      <c r="J9" s="10" t="inlineStr"/>
      <c r="K9" s="10" t="inlineStr"/>
      <c r="L9" s="10" t="inlineStr"/>
    </row>
    <row r="10">
      <c r="A10" s="11" t="inlineStr">
        <is>
          <t>UAT-MGR-09</t>
        </is>
      </c>
      <c r="B10" s="10" t="inlineStr">
        <is>
          <t>Manager</t>
        </is>
      </c>
      <c r="C10" s="10" t="inlineStr">
        <is>
          <t>Self task</t>
        </is>
      </c>
      <c r="D10" s="10" t="inlineStr"/>
      <c r="E10" s="11" t="inlineStr">
        <is>
          <t>A manager assigns a task to herself</t>
        </is>
      </c>
      <c r="F10" s="10" t="inlineStr">
        <is>
          <t>1. Open "Assign a task", choose "Meera Manager (you)" in Assign to, title "Review plan", Assign.
2. Open "Team tasks".</t>
        </is>
      </c>
      <c r="G10" s="10" t="inlineStr">
        <is>
          <t>- The task is created for Meera herself and shows "Assigned to You".</t>
        </is>
      </c>
      <c r="H10" s="10" t="inlineStr"/>
      <c r="I10" s="10" t="inlineStr"/>
      <c r="J10" s="10" t="inlineStr"/>
      <c r="K10" s="10" t="inlineStr"/>
      <c r="L10" s="10" t="inlineStr"/>
    </row>
    <row r="11">
      <c r="A11" s="11" t="inlineStr">
        <is>
          <t>UAT-MGR-10</t>
        </is>
      </c>
      <c r="B11" s="10" t="inlineStr">
        <is>
          <t>Manager</t>
        </is>
      </c>
      <c r="C11" s="10" t="inlineStr">
        <is>
          <t>Task assignment</t>
        </is>
      </c>
      <c r="D11" s="10" t="inlineStr"/>
      <c r="E11" s="11" t="inlineStr">
        <is>
          <t>A manager cannot assign across branches</t>
        </is>
      </c>
      <c r="F11" s="10" t="inlineStr">
        <is>
          <t>1. Open "Assign a task" and look at the "Assign to" list.</t>
        </is>
      </c>
      <c r="G11" s="10" t="inlineStr">
        <is>
          <t>- Bharat Manager and Imran Operator are not offered. (Only an Owner permission "Assign tasks to another manager" would allow Bharat.)</t>
        </is>
      </c>
      <c r="H11" s="10" t="inlineStr"/>
      <c r="I11" s="10" t="inlineStr"/>
      <c r="J11" s="10" t="inlineStr"/>
      <c r="K11" s="10" t="inlineStr"/>
      <c r="L11" s="10" t="inlineStr"/>
    </row>
    <row r="12">
      <c r="A12" s="11" t="inlineStr">
        <is>
          <t>UAT-MGR-11</t>
        </is>
      </c>
      <c r="B12" s="10" t="inlineStr">
        <is>
          <t>Manager</t>
        </is>
      </c>
      <c r="C12" s="10" t="inlineStr">
        <is>
          <t>Task assignment</t>
        </is>
      </c>
      <c r="D12" s="10" t="inlineStr"/>
      <c r="E12" s="11" t="inlineStr">
        <is>
          <t>Task filters and the overdue marker</t>
        </is>
      </c>
      <c r="F12" s="10" t="inlineStr">
        <is>
          <t>1. On Team tasks use Assigned to, Status, Project, Task date and the "Today" button; click "Clear filters".
2. Create a task with a due date in the past and look at it.</t>
        </is>
      </c>
      <c r="G12" s="10" t="inlineStr">
        <is>
          <t>- Each filter narrows the list and the count tiles; a task past its due date shows "Overdue". Clear filters shows everything again.</t>
        </is>
      </c>
      <c r="H12" s="10" t="inlineStr"/>
      <c r="I12" s="10" t="inlineStr"/>
      <c r="J12" s="10" t="inlineStr"/>
      <c r="K12" s="10" t="inlineStr"/>
      <c r="L12" s="10" t="inlineStr"/>
    </row>
    <row r="13">
      <c r="A13" s="11" t="inlineStr">
        <is>
          <t>UAT-MGR-12</t>
        </is>
      </c>
      <c r="B13" s="10" t="inlineStr">
        <is>
          <t>Manager</t>
        </is>
      </c>
      <c r="C13" s="10" t="inlineStr">
        <is>
          <t>Projects</t>
        </is>
      </c>
      <c r="D13" s="10" t="inlineStr"/>
      <c r="E13" s="11" t="inlineStr">
        <is>
          <t>Create a project, add and remove a person</t>
        </is>
      </c>
      <c r="F13" s="10" t="inlineStr">
        <is>
          <t>1. Open "Projects" &gt; "New project": name "Line 3 upgrade", status In progress, Create project.
2. Open it, "Add person", choose Ravi (role "engineer"), "Add to project".
3. Remove Ravi ("Remove ... from the project" and confirm).</t>
        </is>
      </c>
      <c r="G13" s="10" t="inlineStr">
        <is>
          <t>- The project appears under Projects with "Managed by Meera Manager". Ravi is listed on the Team card, then removed after confirmation.</t>
        </is>
      </c>
      <c r="H13" s="10" t="inlineStr"/>
      <c r="I13" s="10" t="inlineStr"/>
      <c r="J13" s="10" t="inlineStr"/>
      <c r="K13" s="10" t="inlineStr"/>
      <c r="L13" s="10" t="inlineStr"/>
    </row>
    <row r="14">
      <c r="A14" s="11" t="inlineStr">
        <is>
          <t>UAT-MGR-13</t>
        </is>
      </c>
      <c r="B14" s="10" t="inlineStr">
        <is>
          <t>Manager</t>
        </is>
      </c>
      <c r="C14" s="10" t="inlineStr">
        <is>
          <t>Projects</t>
        </is>
      </c>
      <c r="D14" s="10" t="inlineStr"/>
      <c r="E14" s="11" t="inlineStr">
        <is>
          <t>Edit a project; archive is not offered</t>
        </is>
      </c>
      <c r="F14" s="10" t="inlineStr">
        <is>
          <t>1. On the project click "Edit project", change the description and status, Save.</t>
        </is>
      </c>
      <c r="G14" s="10" t="inlineStr">
        <is>
          <t>- Changes saved. The "Archive" button is not offered to a manager unless the Owner has granted "Archive a project" (the Owner always has it).</t>
        </is>
      </c>
      <c r="H14" s="10" t="inlineStr"/>
      <c r="I14" s="10" t="inlineStr"/>
      <c r="J14" s="10" t="inlineStr"/>
      <c r="K14" s="10" t="inlineStr"/>
      <c r="L14" s="10" t="inlineStr"/>
    </row>
    <row r="15">
      <c r="A15" s="11" t="inlineStr">
        <is>
          <t>UAT-MGR-14</t>
        </is>
      </c>
      <c r="B15" s="10" t="inlineStr">
        <is>
          <t>Manager</t>
        </is>
      </c>
      <c r="C15" s="10" t="inlineStr">
        <is>
          <t>Projects</t>
        </is>
      </c>
      <c r="D15" s="10" t="inlineStr"/>
      <c r="E15" s="11" t="inlineStr">
        <is>
          <t>Another branch's project is read-only or hidden</t>
        </is>
      </c>
      <c r="F15" s="10" t="inlineStr">
        <is>
          <t>1. Ask Bharat to create a project "Conveyor refit". As Meera open Projects, then open the web address of Bharat's project (ask him to send it).</t>
        </is>
      </c>
      <c r="G15" s="10" t="inlineStr">
        <is>
          <t>- Meera does not see Bharat's project (unless permitted). If she opens its address she sees "Not available".</t>
        </is>
      </c>
      <c r="H15" s="10" t="inlineStr"/>
      <c r="I15" s="10" t="inlineStr"/>
      <c r="J15" s="10" t="inlineStr"/>
      <c r="K15" s="10" t="inlineStr"/>
      <c r="L15" s="10" t="inlineStr"/>
    </row>
    <row r="16">
      <c r="A16" s="11" t="inlineStr">
        <is>
          <t>UAT-MGR-15</t>
        </is>
      </c>
      <c r="B16" s="10" t="inlineStr">
        <is>
          <t>Manager</t>
        </is>
      </c>
      <c r="C16" s="10" t="inlineStr">
        <is>
          <t>Leave approval</t>
        </is>
      </c>
      <c r="D16" s="10" t="inlineStr"/>
      <c r="E16" s="11" t="inlineStr">
        <is>
          <t>Approve a leave request</t>
        </is>
      </c>
      <c r="F16" s="10" t="inlineStr">
        <is>
          <t>1. After Ravi applies for leave (UAT-EMP-11), open "Leave approvals" (Team requests tab, status Pending).
2. Click "Approve" on Ravi's request, add a note, "Approve request".</t>
        </is>
      </c>
      <c r="G16" s="10" t="inlineStr">
        <is>
          <t>- "Leave request approved." The row becomes Approved. Ravi sees Approved in his own list.</t>
        </is>
      </c>
      <c r="H16" s="10" t="inlineStr"/>
      <c r="I16" s="10" t="inlineStr"/>
      <c r="J16" s="10" t="inlineStr"/>
      <c r="K16" s="10" t="inlineStr"/>
      <c r="L16" s="10" t="inlineStr"/>
    </row>
    <row r="17">
      <c r="A17" s="11" t="inlineStr">
        <is>
          <t>UAT-MGR-16</t>
        </is>
      </c>
      <c r="B17" s="10" t="inlineStr">
        <is>
          <t>Manager</t>
        </is>
      </c>
      <c r="C17" s="10" t="inlineStr">
        <is>
          <t>Leave approval</t>
        </is>
      </c>
      <c r="D17" s="10" t="inlineStr"/>
      <c r="E17" s="11" t="inlineStr">
        <is>
          <t>Reject a leave request - a reason is mandatory</t>
        </is>
      </c>
      <c r="F17" s="10" t="inlineStr">
        <is>
          <t>1. Click "Reject" on another pending request.
2. Look at the dialog before typing anything, then type a reason.</t>
        </is>
      </c>
      <c r="G17" s="10" t="inlineStr">
        <is>
          <t>- "Reject request" stays disabled until a reason is written. After rejecting the status is Rejected.</t>
        </is>
      </c>
      <c r="H17" s="10" t="inlineStr"/>
      <c r="I17" s="10" t="inlineStr"/>
      <c r="J17" s="10" t="inlineStr"/>
      <c r="K17" s="10" t="inlineStr"/>
      <c r="L17" s="10" t="inlineStr"/>
    </row>
    <row r="18">
      <c r="A18" s="11" t="inlineStr">
        <is>
          <t>UAT-MGR-17</t>
        </is>
      </c>
      <c r="B18" s="10" t="inlineStr">
        <is>
          <t>Manager</t>
        </is>
      </c>
      <c r="C18" s="10" t="inlineStr">
        <is>
          <t>Leave approval</t>
        </is>
      </c>
      <c r="D18" s="10" t="inlineStr"/>
      <c r="E18" s="11" t="inlineStr">
        <is>
          <t>The manager's own leave</t>
        </is>
      </c>
      <c r="F18" s="10" t="inlineStr">
        <is>
          <t>1. Open the "My leave" tab, "Apply for leave" for next month.
2. Check who it is waiting on.</t>
        </is>
      </c>
      <c r="G18" s="10" t="inlineStr">
        <is>
          <t>- The request shows Waiting on = the Owner (the person above the manager); the manager cannot approve her own leave.</t>
        </is>
      </c>
      <c r="H18" s="10" t="inlineStr"/>
      <c r="I18" s="10" t="inlineStr"/>
      <c r="J18" s="10" t="inlineStr"/>
      <c r="K18" s="10" t="inlineStr"/>
      <c r="L18" s="10" t="inlineStr"/>
    </row>
    <row r="19">
      <c r="A19" s="11" t="inlineStr">
        <is>
          <t>UAT-MGR-18</t>
        </is>
      </c>
      <c r="B19" s="10" t="inlineStr">
        <is>
          <t>Manager</t>
        </is>
      </c>
      <c r="C19" s="10" t="inlineStr">
        <is>
          <t>Leave approval</t>
        </is>
      </c>
      <c r="D19" s="10" t="inlineStr"/>
      <c r="E19" s="11" t="inlineStr">
        <is>
          <t>Leave of the other branch is invisible</t>
        </is>
      </c>
      <c r="F19" s="10" t="inlineStr">
        <is>
          <t>1. Ask Imran to apply for leave. As Meera look at Leave approvals.</t>
        </is>
      </c>
      <c r="G19" s="10" t="inlineStr">
        <is>
          <t>- Imran's request is not in Meera's list.</t>
        </is>
      </c>
      <c r="H19" s="10" t="inlineStr"/>
      <c r="I19" s="10" t="inlineStr"/>
      <c r="J19" s="10" t="inlineStr"/>
      <c r="K19" s="10" t="inlineStr"/>
      <c r="L19" s="10" t="inlineStr"/>
    </row>
    <row r="20">
      <c r="A20" s="11" t="inlineStr">
        <is>
          <t>UAT-MGR-19</t>
        </is>
      </c>
      <c r="B20" s="10" t="inlineStr">
        <is>
          <t>Manager</t>
        </is>
      </c>
      <c r="C20" s="10" t="inlineStr">
        <is>
          <t>EOD</t>
        </is>
      </c>
      <c r="D20" s="10" t="inlineStr"/>
      <c r="E20" s="11" t="inlineStr">
        <is>
          <t>Read team EOD reports; submit the manager's own</t>
        </is>
      </c>
      <c r="F20" s="10" t="inlineStr">
        <is>
          <t>1. Open "EOD reports" &gt; "Team reports", filter by Employee and Project, open a report.
2. Switch to "My reports" and "Submit my report".</t>
        </is>
      </c>
      <c r="G20" s="10" t="inlineStr">
        <is>
          <t>- Only Meera's branch's reports are listed, newest first; opened reports are read-only. The manager can submit her own report like an employee.</t>
        </is>
      </c>
      <c r="H20" s="10" t="inlineStr"/>
      <c r="I20" s="10" t="inlineStr"/>
      <c r="J20" s="10" t="inlineStr"/>
      <c r="K20" s="10" t="inlineStr"/>
      <c r="L20" s="10" t="inlineStr"/>
    </row>
    <row r="21">
      <c r="A21" s="11" t="inlineStr">
        <is>
          <t>UAT-MGR-20</t>
        </is>
      </c>
      <c r="B21" s="10" t="inlineStr">
        <is>
          <t>Manager</t>
        </is>
      </c>
      <c r="C21" s="10" t="inlineStr">
        <is>
          <t>Attendance</t>
        </is>
      </c>
      <c r="D21" s="10" t="inlineStr"/>
      <c r="E21" s="11" t="inlineStr">
        <is>
          <t>Team attendance</t>
        </is>
      </c>
      <c r="F21" s="10" t="inlineStr">
        <is>
          <t>1. Open "Team attendance" (Team tab). Use Today / Last 7 days / Last 30 days / This month and the From / To dates; filter by Employee.
2. Open "Punches" on a row.
3. Switch to "My attendance" and punch in (see UAT-EMP-18).</t>
        </is>
      </c>
      <c r="G21" s="10" t="inlineStr">
        <is>
          <t>- Each row shows date, in, out, worked time and status (Present / Partial / Absent / On leave). The Punches dialog lists each punch with its time and, when recorded, its location.
- Only Meera's branch appears.</t>
        </is>
      </c>
      <c r="H21" s="10" t="inlineStr"/>
      <c r="I21" s="10" t="inlineStr"/>
      <c r="J21" s="10" t="inlineStr"/>
      <c r="K21" s="10" t="inlineStr"/>
      <c r="L21" s="10" t="inlineStr"/>
    </row>
    <row r="22">
      <c r="A22" s="11" t="inlineStr">
        <is>
          <t>UAT-MGR-21</t>
        </is>
      </c>
      <c r="B22" s="10" t="inlineStr">
        <is>
          <t>Manager</t>
        </is>
      </c>
      <c r="C22" s="10" t="inlineStr">
        <is>
          <t>Calendar</t>
        </is>
      </c>
      <c r="D22" s="10" t="inlineStr"/>
      <c r="E22" s="11" t="inlineStr">
        <is>
          <t>Team calendar - month, week, list</t>
        </is>
      </c>
      <c r="F22" s="10" t="inlineStr">
        <is>
          <t>1. Open "Team calendar". Switch Month / Week / List; use Previous / Next.
2. Filter by "Tasks and leave", "Tasks", "Leave", then Person, Project and Team.
3. Click a day and an entry.</t>
        </is>
      </c>
      <c r="G22" s="10" t="inlineStr">
        <is>
          <t>- Tasks appear on their task date; an approved leave appears on every day of the leave, marked "leave". Today is highlighted. Entries open details. Empty months say "Nothing scheduled".
- Only Meera's branch (and nothing of Bharat's).</t>
        </is>
      </c>
      <c r="H22" s="10" t="inlineStr"/>
      <c r="I22" s="10" t="inlineStr"/>
      <c r="J22" s="10" t="inlineStr"/>
      <c r="K22" s="10" t="inlineStr"/>
      <c r="L22" s="10" t="inlineStr"/>
    </row>
    <row r="23">
      <c r="A23" s="11" t="inlineStr">
        <is>
          <t>UAT-MGR-22</t>
        </is>
      </c>
      <c r="B23" s="10" t="inlineStr">
        <is>
          <t>Manager</t>
        </is>
      </c>
      <c r="C23" s="10" t="inlineStr">
        <is>
          <t>Service management</t>
        </is>
      </c>
      <c r="D23" s="10" t="inlineStr"/>
      <c r="E23" s="11" t="inlineStr">
        <is>
          <t>Create a customer and a machine (managers may)</t>
        </is>
      </c>
      <c r="F23" s="10" t="inlineStr">
        <is>
          <t>1. Open "Customers" &gt; "Add a customer" if the Owner has not already (Acme Forgings), add a contact (Priya Nair) and a machine (VMC-850).</t>
        </is>
      </c>
      <c r="G23" s="10" t="inlineStr">
        <is>
          <t>- Customer, contact and machine are saved; managers see ALL customers and machines of the company.</t>
        </is>
      </c>
      <c r="H23" s="10" t="inlineStr"/>
      <c r="I23" s="10" t="inlineStr"/>
      <c r="J23" s="10" t="inlineStr"/>
      <c r="K23" s="10" t="inlineStr"/>
      <c r="L23" s="10" t="inlineStr"/>
    </row>
    <row r="24">
      <c r="A24" s="11" t="inlineStr">
        <is>
          <t>UAT-MGR-23</t>
        </is>
      </c>
      <c r="B24" s="10" t="inlineStr">
        <is>
          <t>Manager</t>
        </is>
      </c>
      <c r="C24" s="10" t="inlineStr">
        <is>
          <t>Service management</t>
        </is>
      </c>
      <c r="D24" s="10" t="inlineStr"/>
      <c r="E24" s="11" t="inlineStr">
        <is>
          <t>Log a service call and assign an engineer</t>
        </is>
      </c>
      <c r="F24" s="10" t="inlineStr">
        <is>
          <t>1. Open "Service calls" &gt; "Log a service call".
2. Choose Customer Acme Forgings, Machine VMC-850, Reported by Priya Nair, Call number SC-2001, contact method Phone, type Field visit, priority Urgent, problem "Spindle vibrates", Log service call.
3. On the call click "Assign someone", choose Ravi Engineer, Assign.</t>
        </is>
      </c>
      <c r="G24" s="10" t="inlineStr">
        <is>
          <t>- The call opens with the progress strip "Logged, Assigned" ticked. Ravi appears under "Team on this call". Only Meera's own branch can be assigned.</t>
        </is>
      </c>
      <c r="H24" s="10" t="inlineStr"/>
      <c r="I24" s="10" t="inlineStr"/>
      <c r="J24" s="10" t="inlineStr"/>
      <c r="K24" s="10" t="inlineStr"/>
      <c r="L24" s="10" t="inlineStr"/>
    </row>
    <row r="25">
      <c r="A25" s="11" t="inlineStr">
        <is>
          <t>UAT-MGR-24</t>
        </is>
      </c>
      <c r="B25" s="10" t="inlineStr">
        <is>
          <t>Manager</t>
        </is>
      </c>
      <c r="C25" s="10" t="inlineStr">
        <is>
          <t>Service management</t>
        </is>
      </c>
      <c r="D25" s="10" t="inlineStr"/>
      <c r="E25" s="11" t="inlineStr">
        <is>
          <t>Duplicate call number is refused</t>
        </is>
      </c>
      <c r="F25" s="10" t="inlineStr">
        <is>
          <t>1. Log another call with Call number SC-2001.</t>
        </is>
      </c>
      <c r="G25" s="10" t="inlineStr">
        <is>
          <t>- "service_call_code is already in use" style message; no second call is created.</t>
        </is>
      </c>
      <c r="H25" s="10" t="inlineStr"/>
      <c r="I25" s="10" t="inlineStr"/>
      <c r="J25" s="10" t="inlineStr"/>
      <c r="K25" s="10" t="inlineStr"/>
      <c r="L25" s="10" t="inlineStr"/>
    </row>
    <row r="26">
      <c r="A26" s="11" t="inlineStr">
        <is>
          <t>UAT-MGR-25</t>
        </is>
      </c>
      <c r="B26" s="10" t="inlineStr">
        <is>
          <t>Manager</t>
        </is>
      </c>
      <c r="C26" s="10" t="inlineStr">
        <is>
          <t>Service management</t>
        </is>
      </c>
      <c r="D26" s="10" t="inlineStr"/>
      <c r="E26" s="11" t="inlineStr">
        <is>
          <t>Follow a call to completion and review the report</t>
        </is>
      </c>
      <c r="F26" s="10" t="inlineStr">
        <is>
          <t>1. After Ravi recorded a visit and submitted a report (UAT-EMP-23/24), open the call.
2. Click "Review" on the report, then "Mark as reviewed".
3. Change the status to Resolved ("Save status"), then edit the resolution text with "Edit call".</t>
        </is>
      </c>
      <c r="G26" s="10" t="inlineStr">
        <is>
          <t>- The strip shows Visit recorded, Report submitted, Report reviewed, Resolved. The report shows "reviewed by Meera Manager".</t>
        </is>
      </c>
      <c r="H26" s="10" t="inlineStr"/>
      <c r="I26" s="10" t="inlineStr"/>
      <c r="J26" s="10" t="inlineStr"/>
      <c r="K26" s="10" t="inlineStr"/>
      <c r="L26" s="10" t="inlineStr"/>
    </row>
    <row r="27">
      <c r="A27" s="11" t="inlineStr">
        <is>
          <t>UAT-MGR-26</t>
        </is>
      </c>
      <c r="B27" s="10" t="inlineStr">
        <is>
          <t>Manager</t>
        </is>
      </c>
      <c r="C27" s="10" t="inlineStr">
        <is>
          <t>Service management</t>
        </is>
      </c>
      <c r="D27" s="10" t="inlineStr"/>
      <c r="E27" s="11" t="inlineStr">
        <is>
          <t>Unassign an engineer</t>
        </is>
      </c>
      <c r="F27" s="10" t="inlineStr">
        <is>
          <t>1. On a call click "Remove" next to an engineer and confirm "Remove from this call?".</t>
        </is>
      </c>
      <c r="G27" s="10" t="inlineStr">
        <is>
          <t>- The engineer disappears from the call's team; their earlier visits and reports stay.</t>
        </is>
      </c>
      <c r="H27" s="10" t="inlineStr"/>
      <c r="I27" s="10" t="inlineStr"/>
      <c r="J27" s="10" t="inlineStr"/>
      <c r="K27" s="10" t="inlineStr"/>
      <c r="L27" s="10" t="inlineStr"/>
    </row>
    <row r="28">
      <c r="A28" s="11" t="inlineStr">
        <is>
          <t>UAT-MGR-27</t>
        </is>
      </c>
      <c r="B28" s="10" t="inlineStr">
        <is>
          <t>Manager</t>
        </is>
      </c>
      <c r="C28" s="10" t="inlineStr">
        <is>
          <t>Service management</t>
        </is>
      </c>
      <c r="D28" s="10" t="inlineStr"/>
      <c r="E28" s="11" t="inlineStr">
        <is>
          <t>Service list filters</t>
        </is>
      </c>
      <c r="F28" s="10" t="inlineStr">
        <is>
          <t>1. On "Service calls" filter by Status, Assigned to, Responsibility and Call number.</t>
        </is>
      </c>
      <c r="G28" s="10" t="inlineStr">
        <is>
          <t>- The list narrows correctly; the summary tiles stay for the whole branch.</t>
        </is>
      </c>
      <c r="H28" s="10" t="inlineStr"/>
      <c r="I28" s="10" t="inlineStr"/>
      <c r="J28" s="10" t="inlineStr"/>
      <c r="K28" s="10" t="inlineStr"/>
      <c r="L28" s="10" t="inlineStr"/>
    </row>
    <row r="29">
      <c r="A29" s="11" t="inlineStr">
        <is>
          <t>UAT-MGR-28</t>
        </is>
      </c>
      <c r="B29" s="10" t="inlineStr">
        <is>
          <t>Manager</t>
        </is>
      </c>
      <c r="C29" s="10" t="inlineStr">
        <is>
          <t>Service management</t>
        </is>
      </c>
      <c r="D29" s="10" t="inlineStr"/>
      <c r="E29" s="11" t="inlineStr">
        <is>
          <t>The other branch's service calls are invisible</t>
        </is>
      </c>
      <c r="F29" s="10" t="inlineStr">
        <is>
          <t>1. Ask Bharat to log SC-3001 for Zenith Castings. As Meera open Service calls and try the call's address.</t>
        </is>
      </c>
      <c r="G29" s="10" t="inlineStr">
        <is>
          <t>- SC-3001 is not listed; its address shows "Not available".</t>
        </is>
      </c>
      <c r="H29" s="10" t="inlineStr"/>
      <c r="I29" s="10" t="inlineStr"/>
      <c r="J29" s="10" t="inlineStr"/>
      <c r="K29" s="10" t="inlineStr"/>
      <c r="L29" s="10" t="inlineStr"/>
    </row>
    <row r="30">
      <c r="A30" s="11" t="inlineStr">
        <is>
          <t>UAT-MGR-29</t>
        </is>
      </c>
      <c r="B30" s="10" t="inlineStr">
        <is>
          <t>Manager</t>
        </is>
      </c>
      <c r="C30" s="10" t="inlineStr">
        <is>
          <t>Reports</t>
        </is>
      </c>
      <c r="D30" s="10" t="inlineStr"/>
      <c r="E30" s="11" t="inlineStr">
        <is>
          <t>Team reports</t>
        </is>
      </c>
      <c r="F30" s="10" t="inlineStr">
        <is>
          <t>1. Open "Reports" and repeat UAT-OWN-18 as a manager.</t>
        </is>
      </c>
      <c r="G30" s="10" t="inlineStr">
        <is>
          <t>- Figures are for Meera's branch only; the Manager filter says "Everyone" and lists only her own subtree.</t>
        </is>
      </c>
      <c r="H30" s="10" t="inlineStr"/>
      <c r="I30" s="10" t="inlineStr"/>
      <c r="J30" s="10" t="inlineStr"/>
      <c r="K30" s="10" t="inlineStr"/>
      <c r="L30" s="10" t="inlineStr"/>
    </row>
    <row r="31">
      <c r="A31" s="11" t="inlineStr">
        <is>
          <t>UAT-MGR-30</t>
        </is>
      </c>
      <c r="B31" s="10" t="inlineStr">
        <is>
          <t>Manager</t>
        </is>
      </c>
      <c r="C31" s="10" t="inlineStr">
        <is>
          <t>Reports</t>
        </is>
      </c>
      <c r="D31" s="10" t="inlineStr"/>
      <c r="E31" s="11" t="inlineStr">
        <is>
          <t>Daily check</t>
        </is>
      </c>
      <c r="F31" s="10" t="inlineStr">
        <is>
          <t>1. On Reports read "Daily check" for today; change the Day.
2. Open a name in the "Not punched in" list.</t>
        </is>
      </c>
      <c r="G31" s="10" t="inlineStr">
        <is>
          <t>- Lists show who of Meera's branch has not punched in and who has no EOD report that day; names link to people.</t>
        </is>
      </c>
      <c r="H31" s="10" t="inlineStr"/>
      <c r="I31" s="10" t="inlineStr"/>
      <c r="J31" s="10" t="inlineStr"/>
      <c r="K31" s="10" t="inlineStr"/>
      <c r="L31" s="10" t="inlineStr"/>
    </row>
    <row r="32">
      <c r="A32" s="11" t="inlineStr">
        <is>
          <t>UAT-MGR-31</t>
        </is>
      </c>
      <c r="B32" s="10" t="inlineStr">
        <is>
          <t>Manager</t>
        </is>
      </c>
      <c r="C32" s="10" t="inlineStr">
        <is>
          <t>Team</t>
        </is>
      </c>
      <c r="D32" s="10" t="inlineStr"/>
      <c r="E32" s="11" t="inlineStr">
        <is>
          <t>Manager sees nothing of the other branch</t>
        </is>
      </c>
      <c r="F32" s="10" t="inlineStr">
        <is>
          <t>1. Ask Bharat to send you the web addresses of one of his tasks, one of Imran's EOD reports and Imran's person page. Open each while signed in as Meera.</t>
        </is>
      </c>
      <c r="G32" s="10" t="inlineStr">
        <is>
          <t>- Each shows "Not available" with no data.</t>
        </is>
      </c>
      <c r="H32" s="10" t="inlineStr"/>
      <c r="I32" s="10" t="inlineStr"/>
      <c r="J32" s="10" t="inlineStr"/>
      <c r="K32" s="10" t="inlineStr"/>
      <c r="L32" s="10" t="inlineStr"/>
    </row>
  </sheetData>
  <autoFilter ref="A1:L32"/>
  <conditionalFormatting sqref="I2:I32">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32" showDropDown="0" showInputMessage="0" showErrorMessage="0" allowBlank="1" type="list">
      <formula1>"Pass,Fail,Blocked,N/A"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4" customWidth="1" min="3" max="3"/>
    <col width="9" customWidth="1" min="4" max="4"/>
    <col width="30" customWidth="1" min="5" max="5"/>
    <col width="62" customWidth="1" min="6" max="6"/>
    <col width="62" customWidth="1" min="7" max="7"/>
    <col width="40" customWidth="1" min="8" max="8"/>
    <col width="11" customWidth="1" min="9" max="9"/>
    <col width="30" customWidth="1" min="10" max="10"/>
    <col width="12" customWidth="1" min="11" max="11"/>
    <col width="12" customWidth="1" min="12" max="12"/>
  </cols>
  <sheetData>
    <row r="1">
      <c r="A1" s="3" t="inlineStr">
        <is>
          <t>Test ID</t>
        </is>
      </c>
      <c r="B1" s="3" t="inlineStr">
        <is>
          <t>Role</t>
        </is>
      </c>
      <c r="C1" s="3" t="inlineStr">
        <is>
          <t>Area</t>
        </is>
      </c>
      <c r="D1" s="3" t="inlineStr">
        <is>
          <t>Device</t>
        </is>
      </c>
      <c r="E1" s="3" t="inlineStr">
        <is>
          <t>Scenario</t>
        </is>
      </c>
      <c r="F1" s="3" t="inlineStr">
        <is>
          <t>Steps</t>
        </is>
      </c>
      <c r="G1" s="3" t="inlineStr">
        <is>
          <t>Expected result</t>
        </is>
      </c>
      <c r="H1" s="3" t="inlineStr">
        <is>
          <t>Actual result</t>
        </is>
      </c>
      <c r="I1" s="3" t="inlineStr">
        <is>
          <t>Result</t>
        </is>
      </c>
      <c r="J1" s="3" t="inlineStr">
        <is>
          <t>Notes</t>
        </is>
      </c>
      <c r="K1" s="3" t="inlineStr">
        <is>
          <t>Tester</t>
        </is>
      </c>
      <c r="L1" s="3" t="inlineStr">
        <is>
          <t>Date</t>
        </is>
      </c>
    </row>
    <row r="2">
      <c r="A2" s="11" t="inlineStr">
        <is>
          <t>UAT-EMP-01</t>
        </is>
      </c>
      <c r="B2" s="10" t="inlineStr">
        <is>
          <t>Employee</t>
        </is>
      </c>
      <c r="C2" s="10" t="inlineStr">
        <is>
          <t>Login</t>
        </is>
      </c>
      <c r="D2" s="10" t="inlineStr"/>
      <c r="E2" s="11" t="inlineStr">
        <is>
          <t>First sign-in with a temporary password</t>
        </is>
      </c>
      <c r="F2" s="10" t="inlineStr">
        <is>
          <t>1. Sign in as UAT-EMP1 with the temporary password.
2. Change it on the "Change your password" page.</t>
        </is>
      </c>
      <c r="G2" s="10" t="inlineStr">
        <is>
          <t>- The password change is forced; afterwards you land on "My day" and the menu shows: My day, My tasks, Punch in / out, My leave, My EOD report, Projects, My calendar, My service calls, My customers, My machines.</t>
        </is>
      </c>
      <c r="H2" s="10" t="inlineStr"/>
      <c r="I2" s="10" t="inlineStr"/>
      <c r="J2" s="10" t="inlineStr"/>
      <c r="K2" s="10" t="inlineStr"/>
      <c r="L2" s="10" t="inlineStr"/>
    </row>
    <row r="3">
      <c r="A3" s="11" t="inlineStr">
        <is>
          <t>UAT-EMP-02</t>
        </is>
      </c>
      <c r="B3" s="10" t="inlineStr">
        <is>
          <t>Employee</t>
        </is>
      </c>
      <c r="C3" s="10" t="inlineStr">
        <is>
          <t>Login</t>
        </is>
      </c>
      <c r="D3" s="10" t="inlineStr"/>
      <c r="E3" s="11" t="inlineStr">
        <is>
          <t>Wrong password and lock-out</t>
        </is>
      </c>
      <c r="F3" s="10" t="inlineStr">
        <is>
          <t>1. Try a wrong password once - read the message.
2. Try a wrong password five times in a row, then the right password.</t>
        </is>
      </c>
      <c r="G3" s="10" t="inlineStr">
        <is>
          <t>- A plain "Invalid employee ID or password" message, no hint which part is wrong.
- After five failures the account is locked for 15 minutes: even the right password is refused, with a message that the account is temporarily locked. A manager or the Owner can unlock it by resetting the password.</t>
        </is>
      </c>
      <c r="H3" s="10" t="inlineStr"/>
      <c r="I3" s="10" t="inlineStr"/>
      <c r="J3" s="10" t="inlineStr"/>
      <c r="K3" s="10" t="inlineStr"/>
      <c r="L3" s="10" t="inlineStr"/>
    </row>
    <row r="4">
      <c r="A4" s="11" t="inlineStr">
        <is>
          <t>UAT-EMP-03</t>
        </is>
      </c>
      <c r="B4" s="10" t="inlineStr">
        <is>
          <t>Employee</t>
        </is>
      </c>
      <c r="C4" s="10" t="inlineStr">
        <is>
          <t>Login</t>
        </is>
      </c>
      <c r="D4" s="10" t="inlineStr"/>
      <c r="E4" s="11" t="inlineStr">
        <is>
          <t>Sign out, Back button, return to the page you wanted</t>
        </is>
      </c>
      <c r="F4" s="10" t="inlineStr">
        <is>
          <t>1. Open My tasks, then account menu &gt; "Sign out".
2. Press the browser Back button.
3. Type the My tasks address while signed out, sign in.</t>
        </is>
      </c>
      <c r="G4" s="10" t="inlineStr">
        <is>
          <t>- After sign-out you are on the sign-in page and Back never shows the app again.
- Opening a protected address while signed out sends you to sign-in and, after signing in, back to that page.</t>
        </is>
      </c>
      <c r="H4" s="10" t="inlineStr"/>
      <c r="I4" s="10" t="inlineStr"/>
      <c r="J4" s="10" t="inlineStr"/>
      <c r="K4" s="10" t="inlineStr"/>
      <c r="L4" s="10" t="inlineStr"/>
    </row>
    <row r="5">
      <c r="A5" s="11" t="inlineStr">
        <is>
          <t>UAT-EMP-04</t>
        </is>
      </c>
      <c r="B5" s="10" t="inlineStr">
        <is>
          <t>Employee</t>
        </is>
      </c>
      <c r="C5" s="10" t="inlineStr">
        <is>
          <t>Today's work</t>
        </is>
      </c>
      <c r="D5" s="10" t="inlineStr"/>
      <c r="E5" s="11" t="inlineStr">
        <is>
          <t>"My day" dashboard</t>
        </is>
      </c>
      <c r="F5" s="10" t="inlineStr">
        <is>
          <t>1. Open "My day".
2. Click each tile and the "All tasks" link.</t>
        </is>
      </c>
      <c r="G5" s="10" t="inlineStr">
        <is>
          <t>- "Hello, Ravi" with today's date; tiles Tasks today, In progress, Leave awaiting approval, Service calls; the Today card with the punch controls; "Today's tasks". Tiles open the matching filtered lists.</t>
        </is>
      </c>
      <c r="H5" s="10" t="inlineStr"/>
      <c r="I5" s="10" t="inlineStr"/>
      <c r="J5" s="10" t="inlineStr"/>
      <c r="K5" s="10" t="inlineStr"/>
      <c r="L5" s="10" t="inlineStr"/>
    </row>
    <row r="6">
      <c r="A6" s="11" t="inlineStr">
        <is>
          <t>UAT-EMP-05</t>
        </is>
      </c>
      <c r="B6" s="10" t="inlineStr">
        <is>
          <t>Employee</t>
        </is>
      </c>
      <c r="C6" s="10" t="inlineStr">
        <is>
          <t>Task</t>
        </is>
      </c>
      <c r="D6" s="10" t="inlineStr"/>
      <c r="E6" s="11" t="inlineStr">
        <is>
          <t>My tasks list and filters</t>
        </is>
      </c>
      <c r="F6" s="10" t="inlineStr">
        <is>
          <t>1. Open "My tasks".
2. Filter Status and Task date; press "Today".
3. Open the task "Calibrate press line 3".</t>
        </is>
      </c>
      <c r="G6" s="10" t="inlineStr">
        <is>
          <t>- Only tasks assigned to Ravi are shown (never Sunita's); overdue tasks are marked. The task page shows status, priority, dates, who assigned it, project, History and Task files.</t>
        </is>
      </c>
      <c r="H6" s="10" t="inlineStr"/>
      <c r="I6" s="10" t="inlineStr"/>
      <c r="J6" s="10" t="inlineStr"/>
      <c r="K6" s="10" t="inlineStr"/>
      <c r="L6" s="10" t="inlineStr"/>
    </row>
    <row r="7">
      <c r="A7" s="11" t="inlineStr">
        <is>
          <t>UAT-EMP-06</t>
        </is>
      </c>
      <c r="B7" s="10" t="inlineStr">
        <is>
          <t>Employee</t>
        </is>
      </c>
      <c r="C7" s="10" t="inlineStr">
        <is>
          <t>Task</t>
        </is>
      </c>
      <c r="D7" s="10" t="inlineStr"/>
      <c r="E7" s="11" t="inlineStr">
        <is>
          <t>Update a task's status</t>
        </is>
      </c>
      <c r="F7" s="10" t="inlineStr">
        <is>
          <t>1. On the task choose "Change status" = In progress, click "Save status".
2. Look at History.</t>
        </is>
      </c>
      <c r="G7" s="10" t="inlineStr">
        <is>
          <t>- A message "status changed to In progress" appears and History shows who changed it and when.</t>
        </is>
      </c>
      <c r="H7" s="10" t="inlineStr"/>
      <c r="I7" s="10" t="inlineStr"/>
      <c r="J7" s="10" t="inlineStr"/>
      <c r="K7" s="10" t="inlineStr"/>
      <c r="L7" s="10" t="inlineStr"/>
    </row>
    <row r="8">
      <c r="A8" s="11" t="inlineStr">
        <is>
          <t>UAT-EMP-07</t>
        </is>
      </c>
      <c r="B8" s="10" t="inlineStr">
        <is>
          <t>Employee</t>
        </is>
      </c>
      <c r="C8" s="10" t="inlineStr">
        <is>
          <t>Task</t>
        </is>
      </c>
      <c r="D8" s="10" t="inlineStr"/>
      <c r="E8" s="11" t="inlineStr">
        <is>
          <t>Completing and cancelling ask for confirmation</t>
        </is>
      </c>
      <c r="F8" s="10" t="inlineStr">
        <is>
          <t>1. Choose status Completed and Save status.
2. Confirm "Mark completed" (try Cancel first).
3. On another task choose Cancelled.</t>
        </is>
      </c>
      <c r="G8" s="10" t="inlineStr">
        <is>
          <t>- A dialog "Mark task as completed?" / "Cancel this task?" appears; Cancel in the dialog leaves the task unchanged; confirming changes it.</t>
        </is>
      </c>
      <c r="H8" s="10" t="inlineStr"/>
      <c r="I8" s="10" t="inlineStr"/>
      <c r="J8" s="10" t="inlineStr"/>
      <c r="K8" s="10" t="inlineStr"/>
      <c r="L8" s="10" t="inlineStr"/>
    </row>
    <row r="9">
      <c r="A9" s="11" t="inlineStr">
        <is>
          <t>UAT-EMP-08</t>
        </is>
      </c>
      <c r="B9" s="10" t="inlineStr">
        <is>
          <t>Employee</t>
        </is>
      </c>
      <c r="C9" s="10" t="inlineStr">
        <is>
          <t>Task</t>
        </is>
      </c>
      <c r="D9" s="10" t="inlineStr"/>
      <c r="E9" s="11" t="inlineStr">
        <is>
          <t>An employee can only change status</t>
        </is>
      </c>
      <c r="F9" s="10" t="inlineStr">
        <is>
          <t>1. Look for buttons to edit the title, reassign or create a task.</t>
        </is>
      </c>
      <c r="G9" s="10" t="inlineStr">
        <is>
          <t>- There are none (no Edit task, Reassign or Assign a task). Colleagues' tasks cannot be opened ("Not available").</t>
        </is>
      </c>
      <c r="H9" s="10" t="inlineStr"/>
      <c r="I9" s="10" t="inlineStr"/>
      <c r="J9" s="10" t="inlineStr"/>
      <c r="K9" s="10" t="inlineStr"/>
      <c r="L9" s="10" t="inlineStr"/>
    </row>
    <row r="10">
      <c r="A10" s="11" t="inlineStr">
        <is>
          <t>UAT-EMP-09</t>
        </is>
      </c>
      <c r="B10" s="10" t="inlineStr">
        <is>
          <t>Employee</t>
        </is>
      </c>
      <c r="C10" s="10" t="inlineStr">
        <is>
          <t>Project</t>
        </is>
      </c>
      <c r="D10" s="10" t="inlineStr"/>
      <c r="E10" s="11" t="inlineStr">
        <is>
          <t>Projects I belong to</t>
        </is>
      </c>
      <c r="F10" s="10" t="inlineStr">
        <is>
          <t>1. Ask Meera to add Ravi to "Line 3 upgrade" (UAT-MGR-12).
2. Open "Projects" and open the project.</t>
        </is>
      </c>
      <c r="G10" s="10" t="inlineStr">
        <is>
          <t>- Only Ravi's projects are listed. The project page shows details, team and files; no Edit / Add person / Archive buttons.</t>
        </is>
      </c>
      <c r="H10" s="10" t="inlineStr"/>
      <c r="I10" s="10" t="inlineStr"/>
      <c r="J10" s="10" t="inlineStr"/>
      <c r="K10" s="10" t="inlineStr"/>
      <c r="L10" s="10" t="inlineStr"/>
    </row>
    <row r="11">
      <c r="A11" s="11" t="inlineStr">
        <is>
          <t>UAT-EMP-10</t>
        </is>
      </c>
      <c r="B11" s="10" t="inlineStr">
        <is>
          <t>Employee</t>
        </is>
      </c>
      <c r="C11" s="10" t="inlineStr">
        <is>
          <t>Project</t>
        </is>
      </c>
      <c r="D11" s="10" t="inlineStr"/>
      <c r="E11" s="11" t="inlineStr">
        <is>
          <t>Projects filter and other branch's project</t>
        </is>
      </c>
      <c r="F11" s="10" t="inlineStr">
        <is>
          <t>1. Filter Projects by Status.
2. Try to open a project Ravi is not on.</t>
        </is>
      </c>
      <c r="G11" s="10" t="inlineStr">
        <is>
          <t>- The filter works; a project outside Ravi's membership shows "Not available".</t>
        </is>
      </c>
      <c r="H11" s="10" t="inlineStr"/>
      <c r="I11" s="10" t="inlineStr"/>
      <c r="J11" s="10" t="inlineStr"/>
      <c r="K11" s="10" t="inlineStr"/>
      <c r="L11" s="10" t="inlineStr"/>
    </row>
    <row r="12">
      <c r="A12" s="11" t="inlineStr">
        <is>
          <t>UAT-EMP-11</t>
        </is>
      </c>
      <c r="B12" s="10" t="inlineStr">
        <is>
          <t>Employee</t>
        </is>
      </c>
      <c r="C12" s="10" t="inlineStr">
        <is>
          <t>Leave</t>
        </is>
      </c>
      <c r="D12" s="10" t="inlineStr"/>
      <c r="E12" s="11" t="inlineStr">
        <is>
          <t>Apply for leave</t>
        </is>
      </c>
      <c r="F12" s="10" t="inlineStr">
        <is>
          <t>1. Open "My leave" &gt; "Apply for leave".
2. From and To = two days next week, Reason "Family function".
3. Read the line under the dates, then "Send request".</t>
        </is>
      </c>
      <c r="G12" s="10" t="inlineStr">
        <is>
          <t>- The dialog says "2 days of leave". After sending: "Leave request sent for approval."; the list shows the dates as "DD Mon YYYY", Days 2, status Pending, Waiting on Meera Manager.</t>
        </is>
      </c>
      <c r="H12" s="10" t="inlineStr"/>
      <c r="I12" s="10" t="inlineStr"/>
      <c r="J12" s="10" t="inlineStr"/>
      <c r="K12" s="10" t="inlineStr"/>
      <c r="L12" s="10" t="inlineStr"/>
    </row>
    <row r="13">
      <c r="A13" s="11" t="inlineStr">
        <is>
          <t>UAT-EMP-12</t>
        </is>
      </c>
      <c r="B13" s="10" t="inlineStr">
        <is>
          <t>Employee</t>
        </is>
      </c>
      <c r="C13" s="10" t="inlineStr">
        <is>
          <t>Leave</t>
        </is>
      </c>
      <c r="D13" s="10" t="inlineStr"/>
      <c r="E13" s="11" t="inlineStr">
        <is>
          <t>Leave date checks</t>
        </is>
      </c>
      <c r="F13" s="10" t="inlineStr">
        <is>
          <t>1. Apply with To before From.</t>
        </is>
      </c>
      <c r="G13" s="10" t="inlineStr">
        <is>
          <t>- "The last day cannot be before the first day." and nothing is sent.</t>
        </is>
      </c>
      <c r="H13" s="10" t="inlineStr"/>
      <c r="I13" s="10" t="inlineStr"/>
      <c r="J13" s="10" t="inlineStr"/>
      <c r="K13" s="10" t="inlineStr"/>
      <c r="L13" s="10" t="inlineStr"/>
    </row>
    <row r="14">
      <c r="A14" s="11" t="inlineStr">
        <is>
          <t>UAT-EMP-13</t>
        </is>
      </c>
      <c r="B14" s="10" t="inlineStr">
        <is>
          <t>Employee</t>
        </is>
      </c>
      <c r="C14" s="10" t="inlineStr">
        <is>
          <t>Leave</t>
        </is>
      </c>
      <c r="D14" s="10" t="inlineStr"/>
      <c r="E14" s="11" t="inlineStr">
        <is>
          <t>Cancel a pending request</t>
        </is>
      </c>
      <c r="F14" s="10" t="inlineStr">
        <is>
          <t>1. On a Pending request click "Cancel request" and confirm.
2. Look at an Approved request.</t>
        </is>
      </c>
      <c r="G14" s="10" t="inlineStr">
        <is>
          <t>- "Leave request cancelled." status Cancelled. An Approved request has no cancel button.</t>
        </is>
      </c>
      <c r="H14" s="10" t="inlineStr"/>
      <c r="I14" s="10" t="inlineStr"/>
      <c r="J14" s="10" t="inlineStr"/>
      <c r="K14" s="10" t="inlineStr"/>
      <c r="L14" s="10" t="inlineStr"/>
    </row>
    <row r="15">
      <c r="A15" s="11" t="inlineStr">
        <is>
          <t>UAT-EMP-14</t>
        </is>
      </c>
      <c r="B15" s="10" t="inlineStr">
        <is>
          <t>Employee</t>
        </is>
      </c>
      <c r="C15" s="10" t="inlineStr">
        <is>
          <t>Leave</t>
        </is>
      </c>
      <c r="D15" s="10" t="inlineStr"/>
      <c r="E15" s="11" t="inlineStr">
        <is>
          <t>See the decision</t>
        </is>
      </c>
      <c r="F15" s="10" t="inlineStr">
        <is>
          <t>1. After Meera approved one request and rejected another (UAT-MGR-15/16) open "My leave" and filter by Status.</t>
        </is>
      </c>
      <c r="G15" s="10" t="inlineStr">
        <is>
          <t>- The statuses read Approved and Rejected; the Approved leave also appears on "My calendar".</t>
        </is>
      </c>
      <c r="H15" s="10" t="inlineStr"/>
      <c r="I15" s="10" t="inlineStr"/>
      <c r="J15" s="10" t="inlineStr"/>
      <c r="K15" s="10" t="inlineStr"/>
      <c r="L15" s="10" t="inlineStr"/>
    </row>
    <row r="16">
      <c r="A16" s="11" t="inlineStr">
        <is>
          <t>UAT-EMP-15</t>
        </is>
      </c>
      <c r="B16" s="10" t="inlineStr">
        <is>
          <t>Employee</t>
        </is>
      </c>
      <c r="C16" s="10" t="inlineStr">
        <is>
          <t>EOD</t>
        </is>
      </c>
      <c r="D16" s="10" t="inlineStr"/>
      <c r="E16" s="11" t="inlineStr">
        <is>
          <t>Submit an end-of-day report</t>
        </is>
      </c>
      <c r="F16" s="10" t="inlineStr">
        <is>
          <t>1. Open "My EOD report" &gt; "Submit today's report".
2. Leave "Work completed" empty and click "Submit report".
3. Fill Work completed "Calibrated the press", Work remaining "Final test", optionally pick the project and task, then Submit report.</t>
        </is>
      </c>
      <c r="G16" s="10" t="inlineStr">
        <is>
          <t>- "Describe the work you completed." is shown for the empty form. After submitting you see the report with "cannot be edited"; it is in the "All reports" list under today's date.</t>
        </is>
      </c>
      <c r="H16" s="10" t="inlineStr"/>
      <c r="I16" s="10" t="inlineStr"/>
      <c r="J16" s="10" t="inlineStr"/>
      <c r="K16" s="10" t="inlineStr"/>
      <c r="L16" s="10" t="inlineStr"/>
    </row>
    <row r="17">
      <c r="A17" s="11" t="inlineStr">
        <is>
          <t>UAT-EMP-16</t>
        </is>
      </c>
      <c r="B17" s="10" t="inlineStr">
        <is>
          <t>Employee</t>
        </is>
      </c>
      <c r="C17" s="10" t="inlineStr">
        <is>
          <t>EOD</t>
        </is>
      </c>
      <c r="D17" s="10" t="inlineStr"/>
      <c r="E17" s="11" t="inlineStr">
        <is>
          <t>Unsaved text is not lost silently</t>
        </is>
      </c>
      <c r="F17" s="10" t="inlineStr">
        <is>
          <t>1. Start a new EOD report, type something, then click another menu item.
2. Try "Keep editing" and then leave again with "Leave page".
3. Type, then close the browser tab.</t>
        </is>
      </c>
      <c r="G17" s="10" t="inlineStr">
        <is>
          <t>- A "Leave without saving?" dialog appears; Keep editing returns to the form; Leave page discards. Closing the tab shows the browser's own warning.</t>
        </is>
      </c>
      <c r="H17" s="10" t="inlineStr"/>
      <c r="I17" s="10" t="inlineStr"/>
      <c r="J17" s="10" t="inlineStr"/>
      <c r="K17" s="10" t="inlineStr"/>
      <c r="L17" s="10" t="inlineStr"/>
    </row>
    <row r="18">
      <c r="A18" s="11" t="inlineStr">
        <is>
          <t>UAT-EMP-17</t>
        </is>
      </c>
      <c r="B18" s="10" t="inlineStr">
        <is>
          <t>Employee</t>
        </is>
      </c>
      <c r="C18" s="10" t="inlineStr">
        <is>
          <t>EOD</t>
        </is>
      </c>
      <c r="D18" s="10" t="inlineStr"/>
      <c r="E18" s="11" t="inlineStr">
        <is>
          <t>Past reports</t>
        </is>
      </c>
      <c r="F18" s="10" t="inlineStr">
        <is>
          <t>1. Open "My EOD report", open an older report and use the Report date filter.</t>
        </is>
      </c>
      <c r="G18" s="10" t="inlineStr">
        <is>
          <t>- Only Ravi's reports are listed; each opens read-only.</t>
        </is>
      </c>
      <c r="H18" s="10" t="inlineStr"/>
      <c r="I18" s="10" t="inlineStr"/>
      <c r="J18" s="10" t="inlineStr"/>
      <c r="K18" s="10" t="inlineStr"/>
      <c r="L18" s="10" t="inlineStr"/>
    </row>
    <row r="19">
      <c r="A19" s="11" t="inlineStr">
        <is>
          <t>UAT-EMP-18</t>
        </is>
      </c>
      <c r="B19" s="10" t="inlineStr">
        <is>
          <t>Employee</t>
        </is>
      </c>
      <c r="C19" s="10" t="inlineStr">
        <is>
          <t>Attendance</t>
        </is>
      </c>
      <c r="D19" s="10" t="inlineStr">
        <is>
          <t>Phone</t>
        </is>
      </c>
      <c r="E19" s="11" t="inlineStr">
        <is>
          <t>Punch in with location (phone)</t>
        </is>
      </c>
      <c r="F19" s="10" t="inlineStr">
        <is>
          <t>1. On the phone open "Punch in / out" with "Record my location with this punch" ticked.
2. Press "Punch in" and allow location when the browser asks.</t>
        </is>
      </c>
      <c r="G19" s="10" t="inlineStr">
        <is>
          <t>- "Punched in at hh:mm am" with today's date in company time; status Present. The punch details ("Punches" on the history row) show the coordinates.</t>
        </is>
      </c>
      <c r="H19" s="10" t="inlineStr"/>
      <c r="I19" s="10" t="inlineStr"/>
      <c r="J19" s="10" t="inlineStr"/>
      <c r="K19" s="10" t="inlineStr"/>
      <c r="L19" s="10" t="inlineStr"/>
    </row>
    <row r="20">
      <c r="A20" s="11" t="inlineStr">
        <is>
          <t>UAT-EMP-19</t>
        </is>
      </c>
      <c r="B20" s="10" t="inlineStr">
        <is>
          <t>Employee</t>
        </is>
      </c>
      <c r="C20" s="10" t="inlineStr">
        <is>
          <t>Attendance</t>
        </is>
      </c>
      <c r="D20" s="10" t="inlineStr">
        <is>
          <t>Phone</t>
        </is>
      </c>
      <c r="E20" s="11" t="inlineStr">
        <is>
          <t>Punch in when location is refused or switched off</t>
        </is>
      </c>
      <c r="F20" s="10" t="inlineStr">
        <is>
          <t>1. Another day (or another employee) block the location permission and punch in.
2. Untick "Record my location" and punch in.</t>
        </is>
      </c>
      <c r="G20" s="10" t="inlineStr">
        <is>
          <t>- The punch is still recorded and a message says the location was not recorded; with the box unticked the browser never asks.</t>
        </is>
      </c>
      <c r="H20" s="10" t="inlineStr"/>
      <c r="I20" s="10" t="inlineStr"/>
      <c r="J20" s="10" t="inlineStr"/>
      <c r="K20" s="10" t="inlineStr"/>
      <c r="L20" s="10" t="inlineStr"/>
    </row>
    <row r="21">
      <c r="A21" s="11" t="inlineStr">
        <is>
          <t>UAT-EMP-20</t>
        </is>
      </c>
      <c r="B21" s="10" t="inlineStr">
        <is>
          <t>Employee</t>
        </is>
      </c>
      <c r="C21" s="10" t="inlineStr">
        <is>
          <t>Attendance</t>
        </is>
      </c>
      <c r="D21" s="10" t="inlineStr"/>
      <c r="E21" s="11" t="inlineStr">
        <is>
          <t>Punch out and the rule after it</t>
        </is>
      </c>
      <c r="F21" s="10" t="inlineStr">
        <is>
          <t>1. Press "Punch out" and read the dialog; confirm "Punch out".
2. Try to punch in again.</t>
        </is>
      </c>
      <c r="G21" s="10" t="inlineStr">
        <is>
          <t>- The dialog "Punch out for today?" warns "You won't be able to punch in again today.". Afterwards the day shows "Day complete" with hours worked and no Punch in button.</t>
        </is>
      </c>
      <c r="H21" s="10" t="inlineStr"/>
      <c r="I21" s="10" t="inlineStr"/>
      <c r="J21" s="10" t="inlineStr"/>
      <c r="K21" s="10" t="inlineStr"/>
      <c r="L21" s="10" t="inlineStr"/>
    </row>
    <row r="22">
      <c r="A22" s="11" t="inlineStr">
        <is>
          <t>UAT-EMP-21</t>
        </is>
      </c>
      <c r="B22" s="10" t="inlineStr">
        <is>
          <t>Employee</t>
        </is>
      </c>
      <c r="C22" s="10" t="inlineStr">
        <is>
          <t>Attendance</t>
        </is>
      </c>
      <c r="D22" s="10" t="inlineStr"/>
      <c r="E22" s="11" t="inlineStr">
        <is>
          <t>Attendance history</t>
        </is>
      </c>
      <c r="F22" s="10" t="inlineStr">
        <is>
          <t>1. Scroll to the history, use Today / Last 7 days / Last 30 days / This month and the From / To dates, then open "Punches" for a day.</t>
        </is>
      </c>
      <c r="G22" s="10" t="inlineStr">
        <is>
          <t>- Only Ravi's own days; date range and presets work; the dialog lists each punch.</t>
        </is>
      </c>
      <c r="H22" s="10" t="inlineStr"/>
      <c r="I22" s="10" t="inlineStr"/>
      <c r="J22" s="10" t="inlineStr"/>
      <c r="K22" s="10" t="inlineStr"/>
      <c r="L22" s="10" t="inlineStr"/>
    </row>
    <row r="23">
      <c r="A23" s="11" t="inlineStr">
        <is>
          <t>UAT-EMP-22</t>
        </is>
      </c>
      <c r="B23" s="10" t="inlineStr">
        <is>
          <t>Employee</t>
        </is>
      </c>
      <c r="C23" s="10" t="inlineStr">
        <is>
          <t>Service work</t>
        </is>
      </c>
      <c r="D23" s="10" t="inlineStr">
        <is>
          <t>Phone</t>
        </is>
      </c>
      <c r="E23" s="11" t="inlineStr">
        <is>
          <t>My service calls and a call's page (phone)</t>
        </is>
      </c>
      <c r="F23" s="10" t="inlineStr">
        <is>
          <t>1. Open "My service calls" (bottom tab "Service").
2. Open call SC-2001.</t>
        </is>
      </c>
      <c r="G23" s="10" t="inlineStr">
        <is>
          <t>- Only calls assigned to Ravi are listed (as cards on a phone). The call shows the progress strip, details, customer with address, a tap-to-call phone number and "Open in Maps", the machine, visits and reports.</t>
        </is>
      </c>
      <c r="H23" s="10" t="inlineStr"/>
      <c r="I23" s="10" t="inlineStr"/>
      <c r="J23" s="10" t="inlineStr"/>
      <c r="K23" s="10" t="inlineStr"/>
      <c r="L23" s="10" t="inlineStr"/>
    </row>
    <row r="24">
      <c r="A24" s="11" t="inlineStr">
        <is>
          <t>UAT-EMP-23</t>
        </is>
      </c>
      <c r="B24" s="10" t="inlineStr">
        <is>
          <t>Employee</t>
        </is>
      </c>
      <c r="C24" s="10" t="inlineStr">
        <is>
          <t>Service work</t>
        </is>
      </c>
      <c r="D24" s="10" t="inlineStr">
        <is>
          <t>Phone</t>
        </is>
      </c>
      <c r="E24" s="11" t="inlineStr">
        <is>
          <t>Record a visit (phone)</t>
        </is>
      </c>
      <c r="F24" s="10" t="inlineStr">
        <is>
          <t>1. On the call press "Record a visit".
2. Type "Field visit", set Date, Arrived and Left times, Work performed "Checked spindle bearings", Problem found, Result.
3. Press "Save visit", then edit it.</t>
        </is>
      </c>
      <c r="G24" s="10" t="inlineStr">
        <is>
          <t>- Work performed is required. The visit appears under Visits with times in company time; "You cannot leave before you arrive" is shown if Left is before Arrived. The strip now ticks "Visit recorded".</t>
        </is>
      </c>
      <c r="H24" s="10" t="inlineStr"/>
      <c r="I24" s="10" t="inlineStr"/>
      <c r="J24" s="10" t="inlineStr"/>
      <c r="K24" s="10" t="inlineStr"/>
      <c r="L24" s="10" t="inlineStr"/>
    </row>
    <row r="25">
      <c r="A25" s="11" t="inlineStr">
        <is>
          <t>UAT-EMP-24</t>
        </is>
      </c>
      <c r="B25" s="10" t="inlineStr">
        <is>
          <t>Employee</t>
        </is>
      </c>
      <c r="C25" s="10" t="inlineStr">
        <is>
          <t>Service report</t>
        </is>
      </c>
      <c r="D25" s="10" t="inlineStr"/>
      <c r="E25" s="11" t="inlineStr">
        <is>
          <t>Submit the service report</t>
        </is>
      </c>
      <c r="F25" s="10" t="inlineStr">
        <is>
          <t>1. Press "Submit report" on the call.
2. Link it to the visit; try Submit report with the boxes empty, then fill Work performed, Problem found, Action taken and Result (all four are required) plus any optional fields; Submit report.</t>
        </is>
      </c>
      <c r="G25" s="10" t="inlineStr">
        <is>
          <t>- Empty required boxes show messages such as "Describe the work performed.". The report is listed on the call; the strip ticks "Report submitted". After the manager reviews it, "reviewed by Meera Manager" shows.</t>
        </is>
      </c>
      <c r="H25" s="10" t="inlineStr"/>
      <c r="I25" s="10" t="inlineStr"/>
      <c r="J25" s="10" t="inlineStr"/>
      <c r="K25" s="10" t="inlineStr"/>
      <c r="L25" s="10" t="inlineStr"/>
    </row>
    <row r="26">
      <c r="A26" s="11" t="inlineStr">
        <is>
          <t>UAT-EMP-25</t>
        </is>
      </c>
      <c r="B26" s="10" t="inlineStr">
        <is>
          <t>Employee</t>
        </is>
      </c>
      <c r="C26" s="10" t="inlineStr">
        <is>
          <t>Service work</t>
        </is>
      </c>
      <c r="D26" s="10" t="inlineStr"/>
      <c r="E26" s="11" t="inlineStr">
        <is>
          <t>What an employee may not do on service calls</t>
        </is>
      </c>
      <c r="F26" s="10" t="inlineStr">
        <is>
          <t>1. Look for "Log a service call", "Assign someone", "Edit call", "Review".</t>
        </is>
      </c>
      <c r="G26" s="10" t="inlineStr">
        <is>
          <t>- None of these exist for an employee. Another engineer's call or report cannot be opened ("Not available").</t>
        </is>
      </c>
      <c r="H26" s="10" t="inlineStr"/>
      <c r="I26" s="10" t="inlineStr"/>
      <c r="J26" s="10" t="inlineStr"/>
      <c r="K26" s="10" t="inlineStr"/>
      <c r="L26" s="10" t="inlineStr"/>
    </row>
    <row r="27">
      <c r="A27" s="11" t="inlineStr">
        <is>
          <t>UAT-EMP-26</t>
        </is>
      </c>
      <c r="B27" s="10" t="inlineStr">
        <is>
          <t>Employee</t>
        </is>
      </c>
      <c r="C27" s="10" t="inlineStr">
        <is>
          <t>Service work</t>
        </is>
      </c>
      <c r="D27" s="10" t="inlineStr"/>
      <c r="E27" s="11" t="inlineStr">
        <is>
          <t>My customers and machines</t>
        </is>
      </c>
      <c r="F27" s="10" t="inlineStr">
        <is>
          <t>1. Open "My customers" and "My machines".</t>
        </is>
      </c>
      <c r="G27" s="10" t="inlineStr">
        <is>
          <t>- Only customers and machines connected to Ravi's assigned calls appear.</t>
        </is>
      </c>
      <c r="H27" s="10" t="inlineStr"/>
      <c r="I27" s="10" t="inlineStr"/>
      <c r="J27" s="10" t="inlineStr"/>
      <c r="K27" s="10" t="inlineStr"/>
      <c r="L27" s="10" t="inlineStr"/>
    </row>
    <row r="28">
      <c r="A28" s="11" t="inlineStr">
        <is>
          <t>UAT-EMP-27</t>
        </is>
      </c>
      <c r="B28" s="10" t="inlineStr">
        <is>
          <t>Employee</t>
        </is>
      </c>
      <c r="C28" s="10" t="inlineStr">
        <is>
          <t>Calendar</t>
        </is>
      </c>
      <c r="D28" s="10" t="inlineStr"/>
      <c r="E28" s="11" t="inlineStr">
        <is>
          <t>My calendar</t>
        </is>
      </c>
      <c r="F28" s="10" t="inlineStr">
        <is>
          <t>1. Open "My calendar", switch Month / Week / List.</t>
        </is>
      </c>
      <c r="G28" s="10" t="inlineStr">
        <is>
          <t>- Ravi's tasks on their dates and his approved leave on every day of it.</t>
        </is>
      </c>
      <c r="H28" s="10" t="inlineStr"/>
      <c r="I28" s="10" t="inlineStr"/>
      <c r="J28" s="10" t="inlineStr"/>
      <c r="K28" s="10" t="inlineStr"/>
      <c r="L28" s="10" t="inlineStr"/>
    </row>
    <row r="29">
      <c r="A29" s="11" t="inlineStr">
        <is>
          <t>UAT-EMP-28</t>
        </is>
      </c>
      <c r="B29" s="10" t="inlineStr">
        <is>
          <t>Employee</t>
        </is>
      </c>
      <c r="C29" s="10" t="inlineStr">
        <is>
          <t>Privacy</t>
        </is>
      </c>
      <c r="D29" s="10" t="inlineStr"/>
      <c r="E29" s="11" t="inlineStr">
        <is>
          <t>Colleagues and other branches stay hidden</t>
        </is>
      </c>
      <c r="F29" s="10" t="inlineStr">
        <is>
          <t>1. Type the addresses of Sunita's task, Imran's task, and /users, /reports, /permissions.</t>
        </is>
      </c>
      <c r="G29" s="10" t="inlineStr">
        <is>
          <t>- Each shows "Not available"; the employee's menu never lists those screens.</t>
        </is>
      </c>
      <c r="H29" s="10" t="inlineStr"/>
      <c r="I29" s="10" t="inlineStr"/>
      <c r="J29" s="10" t="inlineStr"/>
      <c r="K29" s="10" t="inlineStr"/>
      <c r="L29" s="10" t="inlineStr"/>
    </row>
    <row r="30">
      <c r="A30" s="11" t="inlineStr">
        <is>
          <t>UAT-EMP-29</t>
        </is>
      </c>
      <c r="B30" s="10" t="inlineStr">
        <is>
          <t>Employee</t>
        </is>
      </c>
      <c r="C30" s="10" t="inlineStr">
        <is>
          <t>Notifications</t>
        </is>
      </c>
      <c r="D30" s="10" t="inlineStr"/>
      <c r="E30" s="11" t="inlineStr">
        <is>
          <t>Notification bell</t>
        </is>
      </c>
      <c r="F30" s="10" t="inlineStr">
        <is>
          <t>1. Open the bell (top bar) and the "Notifications" page.</t>
        </is>
      </c>
      <c r="G30" s="10" t="inlineStr">
        <is>
          <t>- The panel opens and says "You have no notifications." - the system does not yet create notifications (known limitation, see development-status).</t>
        </is>
      </c>
      <c r="H30" s="10" t="inlineStr"/>
      <c r="I30" s="10" t="inlineStr"/>
      <c r="J30" s="10" t="inlineStr"/>
      <c r="K30" s="10" t="inlineStr"/>
      <c r="L30" s="10" t="inlineStr"/>
    </row>
  </sheetData>
  <autoFilter ref="A1:L30"/>
  <conditionalFormatting sqref="I2:I3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30" showDropDown="0" showInputMessage="0" showErrorMessage="0" allowBlank="1" type="list">
      <formula1>"Pass,Fail,Blocked,N/A"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4" customWidth="1" min="3" max="3"/>
    <col width="9" customWidth="1" min="4" max="4"/>
    <col width="30" customWidth="1" min="5" max="5"/>
    <col width="62" customWidth="1" min="6" max="6"/>
    <col width="62" customWidth="1" min="7" max="7"/>
    <col width="40" customWidth="1" min="8" max="8"/>
    <col width="11" customWidth="1" min="9" max="9"/>
    <col width="30" customWidth="1" min="10" max="10"/>
    <col width="12" customWidth="1" min="11" max="11"/>
    <col width="12" customWidth="1" min="12" max="12"/>
  </cols>
  <sheetData>
    <row r="1">
      <c r="A1" s="3" t="inlineStr">
        <is>
          <t>Test ID</t>
        </is>
      </c>
      <c r="B1" s="3" t="inlineStr">
        <is>
          <t>Role</t>
        </is>
      </c>
      <c r="C1" s="3" t="inlineStr">
        <is>
          <t>Area</t>
        </is>
      </c>
      <c r="D1" s="3" t="inlineStr">
        <is>
          <t>Device</t>
        </is>
      </c>
      <c r="E1" s="3" t="inlineStr">
        <is>
          <t>Scenario</t>
        </is>
      </c>
      <c r="F1" s="3" t="inlineStr">
        <is>
          <t>Steps</t>
        </is>
      </c>
      <c r="G1" s="3" t="inlineStr">
        <is>
          <t>Expected result</t>
        </is>
      </c>
      <c r="H1" s="3" t="inlineStr">
        <is>
          <t>Actual result</t>
        </is>
      </c>
      <c r="I1" s="3" t="inlineStr">
        <is>
          <t>Result</t>
        </is>
      </c>
      <c r="J1" s="3" t="inlineStr">
        <is>
          <t>Notes</t>
        </is>
      </c>
      <c r="K1" s="3" t="inlineStr">
        <is>
          <t>Tester</t>
        </is>
      </c>
      <c r="L1" s="3" t="inlineStr">
        <is>
          <t>Date</t>
        </is>
      </c>
    </row>
    <row r="2">
      <c r="A2" s="11" t="inlineStr">
        <is>
          <t>UAT-HRR-01</t>
        </is>
      </c>
      <c r="B2" s="10" t="inlineStr">
        <is>
          <t>Employee</t>
        </is>
      </c>
      <c r="C2" s="10" t="inlineStr">
        <is>
          <t>Punch-in</t>
        </is>
      </c>
      <c r="D2" s="10" t="inlineStr"/>
      <c r="E2" s="11" t="inlineStr">
        <is>
          <t>Say how you are working when you punch in</t>
        </is>
      </c>
      <c r="F2" s="10" t="inlineStr">
        <is>
          <t>1. Sign in as Ravi Engineer and open "Punch in / out".
2. Under "Where are you working today?" choose "On duty" - a box "Where? (customer or place)" appears - type "Acme Forgings" and punch in.
3. Next working day choose "Home" and punch in; on a third day leave "Office".</t>
        </is>
      </c>
      <c r="G2" s="10" t="inlineStr">
        <is>
          <t>- The choice is offered again next time (remembered, never forced); "On duty" asks where.
- Today's card says how you are working (and the place); "My attendance" shows a "Worked as" column with Office / Home / On duty.</t>
        </is>
      </c>
      <c r="H2" s="10" t="inlineStr"/>
      <c r="I2" s="10" t="inlineStr"/>
      <c r="J2" s="10" t="inlineStr"/>
      <c r="K2" s="10" t="inlineStr"/>
      <c r="L2" s="10" t="inlineStr"/>
    </row>
    <row r="3">
      <c r="A3" s="11" t="inlineStr">
        <is>
          <t>UAT-HRR-02</t>
        </is>
      </c>
      <c r="B3" s="10" t="inlineStr">
        <is>
          <t>Employee</t>
        </is>
      </c>
      <c r="C3" s="10" t="inlineStr">
        <is>
          <t>Leave</t>
        </is>
      </c>
      <c r="D3" s="10" t="inlineStr"/>
      <c r="E3" s="11" t="inlineStr">
        <is>
          <t>Apply for a half day and for a compensatory off</t>
        </is>
      </c>
      <c r="F3" s="10" t="inlineStr">
        <is>
          <t>1. Open "My leave" &gt; "Apply for leave". Choose "Type of leave" = half day: only one date is asked and the dialog says "0.5 days of leave". Send it.
2. Apply again with type compensatory off for a Saturday you worked: the dialog says it counts as 0 days of leave.</t>
        </is>
      </c>
      <c r="G3" s="10" t="inlineStr">
        <is>
          <t>- Both requests appear in the list with their kind and days (0.5 and 0); Meera Manager sees the same on "Leave approvals" and can approve them.</t>
        </is>
      </c>
      <c r="H3" s="10" t="inlineStr"/>
      <c r="I3" s="10" t="inlineStr"/>
      <c r="J3" s="10" t="inlineStr"/>
      <c r="K3" s="10" t="inlineStr"/>
      <c r="L3" s="10" t="inlineStr"/>
    </row>
    <row r="4">
      <c r="A4" s="11" t="inlineStr">
        <is>
          <t>UAT-HRR-03</t>
        </is>
      </c>
      <c r="B4" s="10" t="inlineStr">
        <is>
          <t>Owner</t>
        </is>
      </c>
      <c r="C4" s="10" t="inlineStr">
        <is>
          <t>Company settings</t>
        </is>
      </c>
      <c r="D4" s="10" t="inlineStr"/>
      <c r="E4" s="11" t="inlineStr">
        <is>
          <t>Set the weekly off, late time and holidays</t>
        </is>
      </c>
      <c r="F4" s="10" t="inlineStr">
        <is>
          <t>1. Open "Company settings" (Administration).
2. Check the weekly off is Saturday + Sunday and the late time is 09:30; change the late time to 09:45, save.
3. Add a holiday for tomorrow named "Founders day"; then remove it and confirm.</t>
        </is>
      </c>
      <c r="G4" s="10" t="inlineStr">
        <is>
          <t>- Saving shows "Company settings saved."; the new holiday appears in the list; removing asks first, and the holiday disappears.
- The Audit trail shows "Company settings changed", "Holiday added" and "Holiday removed".
- Meera Manager (not the Owner) cannot open "Company settings".</t>
        </is>
      </c>
      <c r="H4" s="10" t="inlineStr"/>
      <c r="I4" s="10" t="inlineStr"/>
      <c r="J4" s="10" t="inlineStr"/>
      <c r="K4" s="10" t="inlineStr"/>
      <c r="L4" s="10" t="inlineStr"/>
    </row>
    <row r="5">
      <c r="A5" s="11" t="inlineStr">
        <is>
          <t>UAT-HRR-04</t>
        </is>
      </c>
      <c r="B5" s="10" t="inlineStr">
        <is>
          <t>Owner</t>
        </is>
      </c>
      <c r="C5" s="10" t="inlineStr">
        <is>
          <t>Analytics</t>
        </is>
      </c>
      <c r="D5" s="10" t="inlineStr"/>
      <c r="E5" s="11" t="inlineStr">
        <is>
          <t>The attendance analytics screen</t>
        </is>
      </c>
      <c r="F5" s="10" t="inlineStr">
        <is>
          <t>1. Open "Attendance analytics" (Insights) as the Owner.
2. Check the month tiles, "People working each day", "Where everyone's days went" and the per-employee table; click a column heading to sort.
3. Change "Month" to last month and the "Financial year (leave)" to the previous one.</t>
        </is>
      </c>
      <c r="G5" s="10" t="inlineStr">
        <is>
          <t>- Figures match what you know of the month (days worked, leave, late arrivals, absent days); lighter columns are weekly offs and holidays; "View as table" shows the same numbers.
- The leave section shows days taken / still to come by month and per employee.</t>
        </is>
      </c>
      <c r="H5" s="10" t="inlineStr"/>
      <c r="I5" s="10" t="inlineStr"/>
      <c r="J5" s="10" t="inlineStr"/>
      <c r="K5" s="10" t="inlineStr"/>
      <c r="L5" s="10" t="inlineStr"/>
    </row>
    <row r="6">
      <c r="A6" s="11" t="inlineStr">
        <is>
          <t>UAT-HRR-05</t>
        </is>
      </c>
      <c r="B6" s="10" t="inlineStr">
        <is>
          <t>Owner</t>
        </is>
      </c>
      <c r="C6" s="10" t="inlineStr">
        <is>
          <t>Excel</t>
        </is>
      </c>
      <c r="D6" s="10" t="inlineStr"/>
      <c r="E6" s="11" t="inlineStr">
        <is>
          <t>Download the four Excel reports and open them</t>
        </is>
      </c>
      <c r="F6" s="10" t="inlineStr">
        <is>
          <t>1. On "Attendance analytics" use "Download as Excel (.xlsx)": pick Ravi Engineer and click "Monthly attendance", then "Leave card".
2. Pick a day and click "Daily report"; click "Monthly summary (everyone)".
3. Open each file in Excel / LibreOffice.</t>
        </is>
      </c>
      <c r="G6" s="10" t="inlineStr">
        <is>
          <t>- Files are named like Attendance_Ravi_Engineer_October_2026.xlsx, LeaveCard_Ravi_Engineer.xlsx, DayReport_2026-10-14.xlsx and AttendanceSummary_October_2026.xlsx.
- Each looks like the company's own sheet: a Type for every day (At Office, WFH, OD, WOW, HW, C/Off, W/Off, Holiday, FD Leave, HD Leave, Absent), colours, a legend and totals; the summary has a second "Day by day" sheet.
- Half-day leave counts 0.5, comp-off 0; a remark such as =1+1 shows as text, never as a formula.</t>
        </is>
      </c>
      <c r="H6" s="10" t="inlineStr"/>
      <c r="I6" s="10" t="inlineStr"/>
      <c r="J6" s="10" t="inlineStr"/>
      <c r="K6" s="10" t="inlineStr"/>
      <c r="L6" s="10" t="inlineStr"/>
    </row>
    <row r="7">
      <c r="A7" s="11" t="inlineStr">
        <is>
          <t>UAT-HRR-06</t>
        </is>
      </c>
      <c r="B7" s="10" t="inlineStr">
        <is>
          <t>Owner</t>
        </is>
      </c>
      <c r="C7" s="10" t="inlineStr">
        <is>
          <t>Permissions</t>
        </is>
      </c>
      <c r="D7" s="10" t="inlineStr"/>
      <c r="E7" s="11" t="inlineStr">
        <is>
          <t>Let the HR person download company reports</t>
        </is>
      </c>
      <c r="F7" s="10" t="inlineStr">
        <is>
          <t>1. Create or choose a manager to act as HR (for example Meera Manager). As Meera, try to open Attendance analytics: it is refused and not in her menu.
2. As the Owner open "Permissions" and grant Meera "Download company attendance reports" (global).
3. As Meera reload and open "Attendance analytics"; download the daily report. Then, as the Owner, add a deny for Meera, and as Meera reload.</t>
        </is>
      </c>
      <c r="G7" s="10" t="inlineStr">
        <is>
          <t>- Before the grant: "Not available" with an explanation; after: the screen opens, shows the WHOLE company (including Bharat's branch) and the downloads work; after the deny it closes again.
- Meera's other screens still show only her own team.
- The Audit trail records every "Report downloaded" with who and which report.</t>
        </is>
      </c>
      <c r="H7" s="10" t="inlineStr"/>
      <c r="I7" s="10" t="inlineStr"/>
      <c r="J7" s="10" t="inlineStr"/>
      <c r="K7" s="10" t="inlineStr"/>
      <c r="L7" s="10" t="inlineStr"/>
    </row>
    <row r="8">
      <c r="A8" s="11" t="inlineStr">
        <is>
          <t>UAT-HRR-07</t>
        </is>
      </c>
      <c r="B8" s="10" t="inlineStr">
        <is>
          <t>Employee</t>
        </is>
      </c>
      <c r="C8" s="10" t="inlineStr">
        <is>
          <t>Permissions</t>
        </is>
      </c>
      <c r="D8" s="10" t="inlineStr"/>
      <c r="E8" s="11" t="inlineStr">
        <is>
          <t>An employee cannot reach company reports</t>
        </is>
      </c>
      <c r="F8" s="10" t="inlineStr">
        <is>
          <t>1. As Ravi Engineer type /attendance-analytics in the address bar.</t>
        </is>
      </c>
      <c r="G8" s="10" t="inlineStr">
        <is>
          <t>- "Not available"; no figures and no downloads.</t>
        </is>
      </c>
      <c r="H8" s="10" t="inlineStr"/>
      <c r="I8" s="10" t="inlineStr"/>
      <c r="J8" s="10" t="inlineStr"/>
      <c r="K8" s="10" t="inlineStr"/>
      <c r="L8" s="10" t="inlineStr"/>
    </row>
  </sheetData>
  <autoFilter ref="A1:L8"/>
  <conditionalFormatting sqref="I2:I8">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8" showDropDown="0" showInputMessage="0" showErrorMessage="0" allowBlank="1" type="list">
      <formula1>"Pass,Fail,Blocked,N/A"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4" customWidth="1" min="3" max="3"/>
    <col width="9" customWidth="1" min="4" max="4"/>
    <col width="30" customWidth="1" min="5" max="5"/>
    <col width="62" customWidth="1" min="6" max="6"/>
    <col width="62" customWidth="1" min="7" max="7"/>
    <col width="40" customWidth="1" min="8" max="8"/>
    <col width="11" customWidth="1" min="9" max="9"/>
    <col width="30" customWidth="1" min="10" max="10"/>
    <col width="12" customWidth="1" min="11" max="11"/>
    <col width="12" customWidth="1" min="12" max="12"/>
  </cols>
  <sheetData>
    <row r="1">
      <c r="A1" s="3" t="inlineStr">
        <is>
          <t>Test ID</t>
        </is>
      </c>
      <c r="B1" s="3" t="inlineStr">
        <is>
          <t>Role</t>
        </is>
      </c>
      <c r="C1" s="3" t="inlineStr">
        <is>
          <t>Area</t>
        </is>
      </c>
      <c r="D1" s="3" t="inlineStr">
        <is>
          <t>Device</t>
        </is>
      </c>
      <c r="E1" s="3" t="inlineStr">
        <is>
          <t>Scenario</t>
        </is>
      </c>
      <c r="F1" s="3" t="inlineStr">
        <is>
          <t>Steps</t>
        </is>
      </c>
      <c r="G1" s="3" t="inlineStr">
        <is>
          <t>Expected result</t>
        </is>
      </c>
      <c r="H1" s="3" t="inlineStr">
        <is>
          <t>Actual result</t>
        </is>
      </c>
      <c r="I1" s="3" t="inlineStr">
        <is>
          <t>Result</t>
        </is>
      </c>
      <c r="J1" s="3" t="inlineStr">
        <is>
          <t>Notes</t>
        </is>
      </c>
      <c r="K1" s="3" t="inlineStr">
        <is>
          <t>Tester</t>
        </is>
      </c>
      <c r="L1" s="3" t="inlineStr">
        <is>
          <t>Date</t>
        </is>
      </c>
    </row>
    <row r="2">
      <c r="A2" s="11" t="inlineStr">
        <is>
          <t>UAT-DSK-01</t>
        </is>
      </c>
      <c r="B2" s="10" t="inlineStr">
        <is>
          <t>Any</t>
        </is>
      </c>
      <c r="C2" s="10" t="inlineStr">
        <is>
          <t>Desktop</t>
        </is>
      </c>
      <c r="D2" s="10" t="inlineStr">
        <is>
          <t>Desktop</t>
        </is>
      </c>
      <c r="E2" s="11" t="inlineStr">
        <is>
          <t>Desktop layout (1366 px or wider)</t>
        </is>
      </c>
      <c r="F2" s="10" t="inlineStr">
        <is>
          <t>1. Sign in on a laptop browser (Chrome, Edge and Firefox).
2. Open every item of your role's menu.</t>
        </is>
      </c>
      <c r="G2" s="10" t="inlineStr">
        <is>
          <t>- A side menu on the left; lists are tables; nothing is cut off; no horizontal scrolling; Back/Forward behave.
- Report which browser each person used.</t>
        </is>
      </c>
      <c r="H2" s="10" t="inlineStr"/>
      <c r="I2" s="10" t="inlineStr"/>
      <c r="J2" s="10" t="inlineStr"/>
      <c r="K2" s="10" t="inlineStr"/>
      <c r="L2" s="10" t="inlineStr"/>
    </row>
    <row r="3">
      <c r="A3" s="11" t="inlineStr">
        <is>
          <t>UAT-TAB-01</t>
        </is>
      </c>
      <c r="B3" s="10" t="inlineStr">
        <is>
          <t>Any</t>
        </is>
      </c>
      <c r="C3" s="10" t="inlineStr">
        <is>
          <t>Tablet</t>
        </is>
      </c>
      <c r="D3" s="10" t="inlineStr">
        <is>
          <t>Tablet</t>
        </is>
      </c>
      <c r="E3" s="11" t="inlineStr">
        <is>
          <t>Tablet (iPad / Android tablet), portrait and landscape</t>
        </is>
      </c>
      <c r="F3" s="10" t="inlineStr">
        <is>
          <t>1. Sign in on a tablet; open Tasks, Leave, Attendance, Calendar; rotate the device.</t>
        </is>
      </c>
      <c r="G3" s="10" t="inlineStr">
        <is>
          <t>- Lists are cards two to a row (tables only on wide screens); the menu is the bottom bar in portrait; nothing overlaps or scrolls sideways.</t>
        </is>
      </c>
      <c r="H3" s="10" t="inlineStr"/>
      <c r="I3" s="10" t="inlineStr"/>
      <c r="J3" s="10" t="inlineStr"/>
      <c r="K3" s="10" t="inlineStr"/>
      <c r="L3" s="10" t="inlineStr"/>
    </row>
    <row r="4">
      <c r="A4" s="11" t="inlineStr">
        <is>
          <t>UAT-MOB-01</t>
        </is>
      </c>
      <c r="B4" s="10" t="inlineStr">
        <is>
          <t>Any</t>
        </is>
      </c>
      <c r="C4" s="10" t="inlineStr">
        <is>
          <t>Mobile</t>
        </is>
      </c>
      <c r="D4" s="10" t="inlineStr">
        <is>
          <t>Phone</t>
        </is>
      </c>
      <c r="E4" s="11" t="inlineStr">
        <is>
          <t>Phone layout (Android and iPhone)</t>
        </is>
      </c>
      <c r="F4" s="10" t="inlineStr">
        <is>
          <t>1. Sign in on a phone; use every bottom tab (Home, Tasks, Attendance/Leave, Service, More).
2. Open "More".</t>
        </is>
      </c>
      <c r="G4" s="10" t="inlineStr">
        <is>
          <t>- Bottom tab bar; "More" lists the other screens; lists are cards; forms open as sheets from the bottom with the Save button always visible; buttons are easy to tap.</t>
        </is>
      </c>
      <c r="H4" s="10" t="inlineStr"/>
      <c r="I4" s="10" t="inlineStr"/>
      <c r="J4" s="10" t="inlineStr"/>
      <c r="K4" s="10" t="inlineStr"/>
      <c r="L4" s="10" t="inlineStr"/>
    </row>
    <row r="5">
      <c r="A5" s="11" t="inlineStr">
        <is>
          <t>UAT-MOB-02</t>
        </is>
      </c>
      <c r="B5" s="10" t="inlineStr">
        <is>
          <t>Any</t>
        </is>
      </c>
      <c r="C5" s="10" t="inlineStr">
        <is>
          <t>Mobile</t>
        </is>
      </c>
      <c r="D5" s="10" t="inlineStr">
        <is>
          <t>Phone</t>
        </is>
      </c>
      <c r="E5" s="11" t="inlineStr">
        <is>
          <t>Install the app on the phone</t>
        </is>
      </c>
      <c r="F5" s="10" t="inlineStr">
        <is>
          <t>1. Android Chrome: use the "Install" banner or the browser menu &gt; Install app. iPhone Safari: Share &gt; Add to Home Screen.
2. Open it from the home screen.</t>
        </is>
      </c>
      <c r="G5" s="10" t="inlineStr">
        <is>
          <t>- It opens full-screen with the OpsFlow icon and name and signs in as before. (Needs the HTTPS address - see README.)</t>
        </is>
      </c>
      <c r="H5" s="10" t="inlineStr"/>
      <c r="I5" s="10" t="inlineStr"/>
      <c r="J5" s="10" t="inlineStr"/>
      <c r="K5" s="10" t="inlineStr"/>
      <c r="L5" s="10" t="inlineStr"/>
    </row>
    <row r="6">
      <c r="A6" s="11" t="inlineStr">
        <is>
          <t>UAT-MOB-03</t>
        </is>
      </c>
      <c r="B6" s="10" t="inlineStr">
        <is>
          <t>Any</t>
        </is>
      </c>
      <c r="C6" s="10" t="inlineStr">
        <is>
          <t>Mobile</t>
        </is>
      </c>
      <c r="D6" s="10" t="inlineStr">
        <is>
          <t>Phone</t>
        </is>
      </c>
      <c r="E6" s="11" t="inlineStr">
        <is>
          <t>Tap-to-call and maps on a call</t>
        </is>
      </c>
      <c r="F6" s="10" t="inlineStr">
        <is>
          <t>1. On a service call tap the customer's phone number and "Open in Maps".</t>
        </is>
      </c>
      <c r="G6" s="10" t="inlineStr">
        <is>
          <t>- The phone dialer / maps app opens with the right number / address.</t>
        </is>
      </c>
      <c r="H6" s="10" t="inlineStr"/>
      <c r="I6" s="10" t="inlineStr"/>
      <c r="J6" s="10" t="inlineStr"/>
      <c r="K6" s="10" t="inlineStr"/>
      <c r="L6" s="10" t="inlineStr"/>
    </row>
    <row r="7">
      <c r="A7" s="11" t="inlineStr">
        <is>
          <t>UAT-MOB-04</t>
        </is>
      </c>
      <c r="B7" s="10" t="inlineStr">
        <is>
          <t>Any</t>
        </is>
      </c>
      <c r="C7" s="10" t="inlineStr">
        <is>
          <t>Mobile</t>
        </is>
      </c>
      <c r="D7" s="10" t="inlineStr">
        <is>
          <t>Phone</t>
        </is>
      </c>
      <c r="E7" s="11" t="inlineStr">
        <is>
          <t>Technician workflow, start to finish, on a phone only</t>
        </is>
      </c>
      <c r="F7" s="10" t="inlineStr">
        <is>
          <t>1. As Ravi using only a phone: punch in, open the call, record a visit with a photo attached, submit the report, punch out.</t>
        </is>
      </c>
      <c r="G7" s="10" t="inlineStr">
        <is>
          <t>- Every step is possible one-handed without zooming or horizontal scrolling.</t>
        </is>
      </c>
      <c r="H7" s="10" t="inlineStr"/>
      <c r="I7" s="10" t="inlineStr"/>
      <c r="J7" s="10" t="inlineStr"/>
      <c r="K7" s="10" t="inlineStr"/>
      <c r="L7" s="10" t="inlineStr"/>
    </row>
    <row r="8">
      <c r="A8" s="11" t="inlineStr">
        <is>
          <t>UAT-SES-01</t>
        </is>
      </c>
      <c r="B8" s="10" t="inlineStr">
        <is>
          <t>Any</t>
        </is>
      </c>
      <c r="C8" s="10" t="inlineStr">
        <is>
          <t>Session</t>
        </is>
      </c>
      <c r="D8" s="10" t="inlineStr"/>
      <c r="E8" s="11" t="inlineStr">
        <is>
          <t>The session renews itself silently</t>
        </is>
      </c>
      <c r="F8" s="10" t="inlineStr">
        <is>
          <t>1. Sign in, leave the app untouched for 20 minutes, then click a menu item.</t>
        </is>
      </c>
      <c r="G8" s="10" t="inlineStr">
        <is>
          <t>- The page loads normally; you are not asked to sign in again (the 15-minute pass is renewed in the background).</t>
        </is>
      </c>
      <c r="H8" s="10" t="inlineStr"/>
      <c r="I8" s="10" t="inlineStr"/>
      <c r="J8" s="10" t="inlineStr"/>
      <c r="K8" s="10" t="inlineStr"/>
      <c r="L8" s="10" t="inlineStr"/>
    </row>
    <row r="9">
      <c r="A9" s="11" t="inlineStr">
        <is>
          <t>UAT-SES-02</t>
        </is>
      </c>
      <c r="B9" s="10" t="inlineStr">
        <is>
          <t>Any</t>
        </is>
      </c>
      <c r="C9" s="10" t="inlineStr">
        <is>
          <t>Session</t>
        </is>
      </c>
      <c r="D9" s="10" t="inlineStr"/>
      <c r="E9" s="11" t="inlineStr">
        <is>
          <t>Refresh and Back/Forward while signed in</t>
        </is>
      </c>
      <c r="F9" s="10" t="inlineStr">
        <is>
          <t>1. On a detail page press F5.
2. Visit four pages, then use Back three times and Forward once.</t>
        </is>
      </c>
      <c r="G9" s="10" t="inlineStr">
        <is>
          <t>- You stay signed in and see the right page each time.</t>
        </is>
      </c>
      <c r="H9" s="10" t="inlineStr"/>
      <c r="I9" s="10" t="inlineStr"/>
      <c r="J9" s="10" t="inlineStr"/>
      <c r="K9" s="10" t="inlineStr"/>
      <c r="L9" s="10" t="inlineStr"/>
    </row>
    <row r="10">
      <c r="A10" s="11" t="inlineStr">
        <is>
          <t>UAT-SES-03</t>
        </is>
      </c>
      <c r="B10" s="10" t="inlineStr">
        <is>
          <t>Any</t>
        </is>
      </c>
      <c r="C10" s="10" t="inlineStr">
        <is>
          <t>Session</t>
        </is>
      </c>
      <c r="D10" s="10" t="inlineStr"/>
      <c r="E10" s="11" t="inlineStr">
        <is>
          <t>Sign-out in one tab ends the other tab</t>
        </is>
      </c>
      <c r="F10" s="10" t="inlineStr">
        <is>
          <t>1. Open the app in two tabs; sign out in one.</t>
        </is>
      </c>
      <c r="G10" s="10" t="inlineStr">
        <is>
          <t>- The other tab goes to the sign-in page within a moment.</t>
        </is>
      </c>
      <c r="H10" s="10" t="inlineStr"/>
      <c r="I10" s="10" t="inlineStr"/>
      <c r="J10" s="10" t="inlineStr"/>
      <c r="K10" s="10" t="inlineStr"/>
      <c r="L10" s="10" t="inlineStr"/>
    </row>
    <row r="11">
      <c r="A11" s="11" t="inlineStr">
        <is>
          <t>UAT-SES-04</t>
        </is>
      </c>
      <c r="B11" s="10" t="inlineStr">
        <is>
          <t>Any</t>
        </is>
      </c>
      <c r="C11" s="10" t="inlineStr">
        <is>
          <t>Session</t>
        </is>
      </c>
      <c r="D11" s="10" t="inlineStr"/>
      <c r="E11" s="11" t="inlineStr">
        <is>
          <t>A password reset ends open sessions</t>
        </is>
      </c>
      <c r="F11" s="10" t="inlineStr">
        <is>
          <t>1. Ravi is signed in on his phone. The Owner or Meera resets his password.
2. On the phone press any menu item or refresh.</t>
        </is>
      </c>
      <c r="G11" s="10" t="inlineStr">
        <is>
          <t>- The phone is taken to "Change your password" (or sign-in); nothing else works until the password is changed.</t>
        </is>
      </c>
      <c r="H11" s="10" t="inlineStr"/>
      <c r="I11" s="10" t="inlineStr"/>
      <c r="J11" s="10" t="inlineStr"/>
      <c r="K11" s="10" t="inlineStr"/>
      <c r="L11" s="10" t="inlineStr"/>
    </row>
    <row r="12">
      <c r="A12" s="11" t="inlineStr">
        <is>
          <t>UAT-SES-05</t>
        </is>
      </c>
      <c r="B12" s="10" t="inlineStr">
        <is>
          <t>Any</t>
        </is>
      </c>
      <c r="C12" s="10" t="inlineStr">
        <is>
          <t>Session</t>
        </is>
      </c>
      <c r="D12" s="10" t="inlineStr"/>
      <c r="E12" s="11" t="inlineStr">
        <is>
          <t>Signed in on two devices</t>
        </is>
      </c>
      <c r="F12" s="10" t="inlineStr">
        <is>
          <t>1. Sign in as the same person on a laptop and a phone; sign out on the phone.</t>
        </is>
      </c>
      <c r="G12" s="10" t="inlineStr">
        <is>
          <t>- The laptop session is unaffected (each device has its own session).</t>
        </is>
      </c>
      <c r="H12" s="10" t="inlineStr"/>
      <c r="I12" s="10" t="inlineStr"/>
      <c r="J12" s="10" t="inlineStr"/>
      <c r="K12" s="10" t="inlineStr"/>
      <c r="L12" s="10" t="inlineStr"/>
    </row>
    <row r="13">
      <c r="A13" s="11" t="inlineStr">
        <is>
          <t>UAT-NET-01</t>
        </is>
      </c>
      <c r="B13" s="10" t="inlineStr">
        <is>
          <t>Any</t>
        </is>
      </c>
      <c r="C13" s="10" t="inlineStr">
        <is>
          <t>Network</t>
        </is>
      </c>
      <c r="D13" s="10" t="inlineStr">
        <is>
          <t>Phone</t>
        </is>
      </c>
      <c r="E13" s="11" t="inlineStr">
        <is>
          <t>Connection lost while using the app</t>
        </is>
      </c>
      <c r="F13" s="10" t="inlineStr">
        <is>
          <t>1. Sign in, then switch the phone to airplane mode (or unplug the network).
2. Look at the top of the screen, try to "Save" or "Send request", and open another screen.</t>
        </is>
      </c>
      <c r="G13" s="10" t="inlineStr">
        <is>
          <t>- A banner says "You're offline" and that buttons that save are switched off; they are greyed with "Needs a connection". Screens that need data say they cannot reach the server and offer "Try again". Nothing is half-saved.</t>
        </is>
      </c>
      <c r="H13" s="10" t="inlineStr"/>
      <c r="I13" s="10" t="inlineStr"/>
      <c r="J13" s="10" t="inlineStr"/>
      <c r="K13" s="10" t="inlineStr"/>
      <c r="L13" s="10" t="inlineStr"/>
    </row>
    <row r="14">
      <c r="A14" s="11" t="inlineStr">
        <is>
          <t>UAT-NET-02</t>
        </is>
      </c>
      <c r="B14" s="10" t="inlineStr">
        <is>
          <t>Any</t>
        </is>
      </c>
      <c r="C14" s="10" t="inlineStr">
        <is>
          <t>Network</t>
        </is>
      </c>
      <c r="D14" s="10" t="inlineStr">
        <is>
          <t>Phone</t>
        </is>
      </c>
      <c r="E14" s="11" t="inlineStr">
        <is>
          <t>Reload while offline, then reconnect</t>
        </is>
      </c>
      <c r="F14" s="10" t="inlineStr">
        <is>
          <t>1. Offline, reload the page (or reopen the installed app).
2. Switch the network back on.</t>
        </is>
      </c>
      <c r="G14" s="10" t="inlineStr">
        <is>
          <t>- The app still opens ("You're offline" page, you are still signed in - not logged out). When the network returns it continues by itself, or press "Try again".</t>
        </is>
      </c>
      <c r="H14" s="10" t="inlineStr"/>
      <c r="I14" s="10" t="inlineStr"/>
      <c r="J14" s="10" t="inlineStr"/>
      <c r="K14" s="10" t="inlineStr"/>
      <c r="L14" s="10" t="inlineStr"/>
    </row>
    <row r="15">
      <c r="A15" s="11" t="inlineStr">
        <is>
          <t>UAT-NET-03</t>
        </is>
      </c>
      <c r="B15" s="10" t="inlineStr">
        <is>
          <t>Any</t>
        </is>
      </c>
      <c r="C15" s="10" t="inlineStr">
        <is>
          <t>Network</t>
        </is>
      </c>
      <c r="D15" s="10" t="inlineStr">
        <is>
          <t>Phone</t>
        </is>
      </c>
      <c r="E15" s="11" t="inlineStr">
        <is>
          <t>Connection drops while a form is open</t>
        </is>
      </c>
      <c r="F15" s="10" t="inlineStr">
        <is>
          <t>1. Open "Apply for leave", fill it, go offline, then back online, then "Send request".</t>
        </is>
      </c>
      <c r="G15" s="10" t="inlineStr">
        <is>
          <t>- The text you typed is still there; Send is disabled offline and works after reconnecting; exactly one request is created.</t>
        </is>
      </c>
      <c r="H15" s="10" t="inlineStr"/>
      <c r="I15" s="10" t="inlineStr"/>
      <c r="J15" s="10" t="inlineStr"/>
      <c r="K15" s="10" t="inlineStr"/>
      <c r="L15" s="10" t="inlineStr"/>
    </row>
    <row r="16">
      <c r="A16" s="11" t="inlineStr">
        <is>
          <t>UAT-NET-04</t>
        </is>
      </c>
      <c r="B16" s="10" t="inlineStr">
        <is>
          <t>Any</t>
        </is>
      </c>
      <c r="C16" s="10" t="inlineStr">
        <is>
          <t>Network</t>
        </is>
      </c>
      <c r="D16" s="10" t="inlineStr">
        <is>
          <t>Phone</t>
        </is>
      </c>
      <c r="E16" s="11" t="inlineStr">
        <is>
          <t>Slow network</t>
        </is>
      </c>
      <c r="F16" s="10" t="inlineStr">
        <is>
          <t>1. On a slow connection (3G or throttled) open Tasks and submit a form, tapping the button twice quickly.</t>
        </is>
      </c>
      <c r="G16" s="10" t="inlineStr">
        <is>
          <t>- Loading placeholders appear first; the form shows progress; only ONE record is created.</t>
        </is>
      </c>
      <c r="H16" s="10" t="inlineStr"/>
      <c r="I16" s="10" t="inlineStr"/>
      <c r="J16" s="10" t="inlineStr"/>
      <c r="K16" s="10" t="inlineStr"/>
      <c r="L16" s="10" t="inlineStr"/>
    </row>
    <row r="17">
      <c r="A17" s="11" t="inlineStr">
        <is>
          <t>UAT-NET-05</t>
        </is>
      </c>
      <c r="B17" s="10" t="inlineStr">
        <is>
          <t>Any</t>
        </is>
      </c>
      <c r="C17" s="10" t="inlineStr">
        <is>
          <t>Network</t>
        </is>
      </c>
      <c r="D17" s="10" t="inlineStr"/>
      <c r="E17" s="11" t="inlineStr">
        <is>
          <t>Server unavailable</t>
        </is>
      </c>
      <c r="F17" s="10" t="inlineStr">
        <is>
          <t>1. Ask the developer to stop the backend briefly; reload a page, then restart it and press "Try again".</t>
        </is>
      </c>
      <c r="G17" s="10" t="inlineStr">
        <is>
          <t>- "Can't reach the server" and "You are still signed in"; after restart "Try again" resumes without signing in again.</t>
        </is>
      </c>
      <c r="H17" s="10" t="inlineStr"/>
      <c r="I17" s="10" t="inlineStr"/>
      <c r="J17" s="10" t="inlineStr"/>
      <c r="K17" s="10" t="inlineStr"/>
      <c r="L17" s="10" t="inlineStr"/>
    </row>
    <row r="18">
      <c r="A18" s="11" t="inlineStr">
        <is>
          <t>UAT-ATT-01</t>
        </is>
      </c>
      <c r="B18" s="10" t="inlineStr">
        <is>
          <t>Any</t>
        </is>
      </c>
      <c r="C18" s="10" t="inlineStr">
        <is>
          <t>Attachments</t>
        </is>
      </c>
      <c r="D18" s="10" t="inlineStr"/>
      <c r="E18" s="11" t="inlineStr">
        <is>
          <t>Upload, download and remove a file on a task</t>
        </is>
      </c>
      <c r="F18" s="10" t="inlineStr">
        <is>
          <t>1. Open a task, choose a file (photo) in "Task files", then the PDF and the .txt.
2. Click a file name to download; open it.
3. Click "Remove" and confirm.</t>
        </is>
      </c>
      <c r="G18" s="10" t="inlineStr">
        <is>
          <t>- "&lt;name&gt; uploaded." for each; sizes shown; the downloaded file opens and is identical; after Remove (with confirmation) it disappears from the list.</t>
        </is>
      </c>
      <c r="H18" s="10" t="inlineStr"/>
      <c r="I18" s="10" t="inlineStr"/>
      <c r="J18" s="10" t="inlineStr"/>
      <c r="K18" s="10" t="inlineStr"/>
      <c r="L18" s="10" t="inlineStr"/>
    </row>
    <row r="19">
      <c r="A19" s="11" t="inlineStr">
        <is>
          <t>UAT-ATT-02</t>
        </is>
      </c>
      <c r="B19" s="10" t="inlineStr">
        <is>
          <t>Any</t>
        </is>
      </c>
      <c r="C19" s="10" t="inlineStr">
        <is>
          <t>Attachments</t>
        </is>
      </c>
      <c r="D19" s="10" t="inlineStr"/>
      <c r="E19" s="11" t="inlineStr">
        <is>
          <t>Wrong file types are refused</t>
        </is>
      </c>
      <c r="F19" s="10" t="inlineStr">
        <is>
          <t>1. Upload virus.exe.
2. Rename a .exe to photo.png and upload it.</t>
        </is>
      </c>
      <c r="G19" s="10" t="inlineStr">
        <is>
          <t>- Both are refused with a clear message ("File type .exe is not allowed" / content does not match); nothing is stored.</t>
        </is>
      </c>
      <c r="H19" s="10" t="inlineStr"/>
      <c r="I19" s="10" t="inlineStr"/>
      <c r="J19" s="10" t="inlineStr"/>
      <c r="K19" s="10" t="inlineStr"/>
      <c r="L19" s="10" t="inlineStr"/>
    </row>
    <row r="20">
      <c r="A20" s="11" t="inlineStr">
        <is>
          <t>UAT-ATT-03</t>
        </is>
      </c>
      <c r="B20" s="10" t="inlineStr">
        <is>
          <t>Any</t>
        </is>
      </c>
      <c r="C20" s="10" t="inlineStr">
        <is>
          <t>Attachments</t>
        </is>
      </c>
      <c r="D20" s="10" t="inlineStr"/>
      <c r="E20" s="11" t="inlineStr">
        <is>
          <t>Large file</t>
        </is>
      </c>
      <c r="F20" s="10" t="inlineStr">
        <is>
          <t>1. Try a file bigger than 25 MB.</t>
        </is>
      </c>
      <c r="G20" s="10" t="inlineStr">
        <is>
          <t>- It is refused with a size message.</t>
        </is>
      </c>
      <c r="H20" s="10" t="inlineStr"/>
      <c r="I20" s="10" t="inlineStr"/>
      <c r="J20" s="10" t="inlineStr"/>
      <c r="K20" s="10" t="inlineStr"/>
      <c r="L20" s="10" t="inlineStr"/>
    </row>
    <row r="21">
      <c r="A21" s="11" t="inlineStr">
        <is>
          <t>UAT-ATT-04</t>
        </is>
      </c>
      <c r="B21" s="10" t="inlineStr">
        <is>
          <t>Any</t>
        </is>
      </c>
      <c r="C21" s="10" t="inlineStr">
        <is>
          <t>Attachments</t>
        </is>
      </c>
      <c r="D21" s="10" t="inlineStr"/>
      <c r="E21" s="11" t="inlineStr">
        <is>
          <t>Files on other records</t>
        </is>
      </c>
      <c r="F21" s="10" t="inlineStr">
        <is>
          <t>1. Attach a file to a project, a customer, a machine, a service call and a service report (where your role allows).</t>
        </is>
      </c>
      <c r="G21" s="10" t="inlineStr">
        <is>
          <t>- Each record has its own file list. An employee cannot attach files to someone else's task.</t>
        </is>
      </c>
      <c r="H21" s="10" t="inlineStr"/>
      <c r="I21" s="10" t="inlineStr"/>
      <c r="J21" s="10" t="inlineStr"/>
      <c r="K21" s="10" t="inlineStr"/>
      <c r="L21" s="10" t="inlineStr"/>
    </row>
    <row r="22">
      <c r="A22" s="11" t="inlineStr">
        <is>
          <t>UAT-ATT-05</t>
        </is>
      </c>
      <c r="B22" s="10" t="inlineStr">
        <is>
          <t>Any</t>
        </is>
      </c>
      <c r="C22" s="10" t="inlineStr">
        <is>
          <t>Attachments</t>
        </is>
      </c>
      <c r="D22" s="10" t="inlineStr"/>
      <c r="E22" s="11" t="inlineStr">
        <is>
          <t>Who may open a file</t>
        </is>
      </c>
      <c r="F22" s="10" t="inlineStr">
        <is>
          <t>1. Copy the download address of Ravi's file and open it signed in as Imran (other branch).</t>
        </is>
      </c>
      <c r="G22" s="10" t="inlineStr">
        <is>
          <t>- Imran gets an error response and no file - files follow the permissions of the record they belong to.</t>
        </is>
      </c>
      <c r="H22" s="10" t="inlineStr"/>
      <c r="I22" s="10" t="inlineStr"/>
      <c r="J22" s="10" t="inlineStr"/>
      <c r="K22" s="10" t="inlineStr"/>
      <c r="L22" s="10" t="inlineStr"/>
    </row>
    <row r="23">
      <c r="A23" s="11" t="inlineStr">
        <is>
          <t>UAT-ATT-06</t>
        </is>
      </c>
      <c r="B23" s="10" t="inlineStr">
        <is>
          <t>Any</t>
        </is>
      </c>
      <c r="C23" s="10" t="inlineStr">
        <is>
          <t>Attachments</t>
        </is>
      </c>
      <c r="D23" s="10" t="inlineStr"/>
      <c r="E23" s="11" t="inlineStr">
        <is>
          <t>A file name with unusual characters</t>
        </is>
      </c>
      <c r="F23" s="10" t="inlineStr">
        <is>
          <t>1. Upload a file called "Report ünïcode 名前 (final).png".</t>
        </is>
      </c>
      <c r="G23" s="10" t="inlineStr">
        <is>
          <t>- It uploads and downloads under that name.</t>
        </is>
      </c>
      <c r="H23" s="10" t="inlineStr"/>
      <c r="I23" s="10" t="inlineStr"/>
      <c r="J23" s="10" t="inlineStr"/>
      <c r="K23" s="10" t="inlineStr"/>
      <c r="L23" s="10" t="inlineStr"/>
    </row>
    <row r="24">
      <c r="A24" s="11" t="inlineStr">
        <is>
          <t>UAT-SRC-01</t>
        </is>
      </c>
      <c r="B24" s="10" t="inlineStr">
        <is>
          <t>Any</t>
        </is>
      </c>
      <c r="C24" s="10" t="inlineStr">
        <is>
          <t>Search</t>
        </is>
      </c>
      <c r="D24" s="10" t="inlineStr"/>
      <c r="E24" s="11" t="inlineStr">
        <is>
          <t>Search from the top bar</t>
        </is>
      </c>
      <c r="F24" s="10" t="inlineStr">
        <is>
          <t>1. Click the magnifier ("Search everything") and type "acme", then a machine serial number "5521", then a call number "SC-20".</t>
        </is>
      </c>
      <c r="G24" s="10" t="inlineStr">
        <is>
          <t>- Results appear as you type, grouped: People (managers and Owner only), Customers, Machines, Service calls. Part of a name, code or serial number is enough, in any letter case.</t>
        </is>
      </c>
      <c r="H24" s="10" t="inlineStr"/>
      <c r="I24" s="10" t="inlineStr"/>
      <c r="J24" s="10" t="inlineStr"/>
      <c r="K24" s="10" t="inlineStr"/>
      <c r="L24" s="10" t="inlineStr"/>
    </row>
    <row r="25">
      <c r="A25" s="11" t="inlineStr">
        <is>
          <t>UAT-SRC-02</t>
        </is>
      </c>
      <c r="B25" s="10" t="inlineStr">
        <is>
          <t>Any</t>
        </is>
      </c>
      <c r="C25" s="10" t="inlineStr">
        <is>
          <t>Search</t>
        </is>
      </c>
      <c r="D25" s="10" t="inlineStr"/>
      <c r="E25" s="11" t="inlineStr">
        <is>
          <t>Nothing found, and what each role can search</t>
        </is>
      </c>
      <c r="F25" s="10" t="inlineStr">
        <is>
          <t>1. Search for "zzzz".
2. As Ravi (employee) search for "Acme" and "Zenith".</t>
        </is>
      </c>
      <c r="G25" s="10" t="inlineStr">
        <is>
          <t>- "Nothing found for 'zzzz'" with advice. An employee finds only customers / machines / calls connected to his own calls; no People group.</t>
        </is>
      </c>
      <c r="H25" s="10" t="inlineStr"/>
      <c r="I25" s="10" t="inlineStr"/>
      <c r="J25" s="10" t="inlineStr"/>
      <c r="K25" s="10" t="inlineStr"/>
      <c r="L25" s="10" t="inlineStr"/>
    </row>
    <row r="26">
      <c r="A26" s="11" t="inlineStr">
        <is>
          <t>UAT-SRC-03</t>
        </is>
      </c>
      <c r="B26" s="10" t="inlineStr">
        <is>
          <t>Any</t>
        </is>
      </c>
      <c r="C26" s="10" t="inlineStr">
        <is>
          <t>Search</t>
        </is>
      </c>
      <c r="D26" s="10" t="inlineStr"/>
      <c r="E26" s="11" t="inlineStr">
        <is>
          <t>Search results open the right record</t>
        </is>
      </c>
      <c r="F26" s="10" t="inlineStr">
        <is>
          <t>1. Click a customer, a machine and a call in the results.</t>
        </is>
      </c>
      <c r="G26" s="10" t="inlineStr">
        <is>
          <t>- Each opens its own page.</t>
        </is>
      </c>
      <c r="H26" s="10" t="inlineStr"/>
      <c r="I26" s="10" t="inlineStr"/>
      <c r="J26" s="10" t="inlineStr"/>
      <c r="K26" s="10" t="inlineStr"/>
      <c r="L26" s="10" t="inlineStr"/>
    </row>
    <row r="27">
      <c r="A27" s="11" t="inlineStr">
        <is>
          <t>UAT-FLT-01</t>
        </is>
      </c>
      <c r="B27" s="10" t="inlineStr">
        <is>
          <t>Any</t>
        </is>
      </c>
      <c r="C27" s="10" t="inlineStr">
        <is>
          <t>Filtering</t>
        </is>
      </c>
      <c r="D27" s="10" t="inlineStr"/>
      <c r="E27" s="11" t="inlineStr">
        <is>
          <t>Filters are remembered in the address and can be cleared</t>
        </is>
      </c>
      <c r="F27" s="10" t="inlineStr">
        <is>
          <t>1. Apply two filters on Team tasks, copy the address and open it in another tab, then press "Clear filters".</t>
        </is>
      </c>
      <c r="G27" s="10" t="inlineStr">
        <is>
          <t>- The same filtered list opens from the copied address; Clear filters restores the whole list; "No tasks match these filters" appears when nothing fits.</t>
        </is>
      </c>
      <c r="H27" s="10" t="inlineStr"/>
      <c r="I27" s="10" t="inlineStr"/>
      <c r="J27" s="10" t="inlineStr"/>
      <c r="K27" s="10" t="inlineStr"/>
      <c r="L27" s="10" t="inlineStr"/>
    </row>
    <row r="28">
      <c r="A28" s="11" t="inlineStr">
        <is>
          <t>UAT-FLT-02</t>
        </is>
      </c>
      <c r="B28" s="10" t="inlineStr">
        <is>
          <t>Any</t>
        </is>
      </c>
      <c r="C28" s="10" t="inlineStr">
        <is>
          <t>Filtering</t>
        </is>
      </c>
      <c r="D28" s="10" t="inlineStr"/>
      <c r="E28" s="11" t="inlineStr">
        <is>
          <t>Lists with many rows page correctly</t>
        </is>
      </c>
      <c r="F28" s="10" t="inlineStr">
        <is>
          <t>1. Create more than 25 tasks (or ask the developer to) and open the list.
2. Use the page controls.</t>
        </is>
      </c>
      <c r="G28" s="10" t="inlineStr">
        <is>
          <t>- Pages of 25; total count correct; filters apply to all pages.</t>
        </is>
      </c>
      <c r="H28" s="10" t="inlineStr"/>
      <c r="I28" s="10" t="inlineStr"/>
      <c r="J28" s="10" t="inlineStr"/>
      <c r="K28" s="10" t="inlineStr"/>
      <c r="L28" s="10" t="inlineStr"/>
    </row>
    <row r="29">
      <c r="A29" s="11" t="inlineStr">
        <is>
          <t>UAT-DTE-01</t>
        </is>
      </c>
      <c r="B29" s="10" t="inlineStr">
        <is>
          <t>Any</t>
        </is>
      </c>
      <c r="C29" s="10" t="inlineStr">
        <is>
          <t>Dates</t>
        </is>
      </c>
      <c r="D29" s="10" t="inlineStr"/>
      <c r="E29" s="11" t="inlineStr">
        <is>
          <t>Dates are shown in company time and one format</t>
        </is>
      </c>
      <c r="F29" s="10" t="inlineStr">
        <is>
          <t>1. Compare the same event (a punch, a task update, a visit) on a laptop and on a phone, and with the phone set to a different time zone.</t>
        </is>
      </c>
      <c r="G29" s="10" t="inlineStr">
        <is>
          <t>- Every date reads like "12 Oct 2026" and times like "06:48 am" in India time (IST) whatever the device's time zone.</t>
        </is>
      </c>
      <c r="H29" s="10" t="inlineStr"/>
      <c r="I29" s="10" t="inlineStr"/>
      <c r="J29" s="10" t="inlineStr"/>
      <c r="K29" s="10" t="inlineStr"/>
      <c r="L29" s="10" t="inlineStr"/>
    </row>
    <row r="30">
      <c r="A30" s="11" t="inlineStr">
        <is>
          <t>UAT-DTE-02</t>
        </is>
      </c>
      <c r="B30" s="10" t="inlineStr">
        <is>
          <t>Any</t>
        </is>
      </c>
      <c r="C30" s="10" t="inlineStr">
        <is>
          <t>Dates</t>
        </is>
      </c>
      <c r="D30" s="10" t="inlineStr"/>
      <c r="E30" s="11" t="inlineStr">
        <is>
          <t>A day boundary</t>
        </is>
      </c>
      <c r="F30" s="10" t="inlineStr">
        <is>
          <t>1. Punch in at 11:50 pm and punch out after midnight (or ask the developer to simulate), then look at the attendance.</t>
        </is>
      </c>
      <c r="G30" s="10" t="inlineStr">
        <is>
          <t>- The punch belongs to the day it started (India time); hours worked are correct.</t>
        </is>
      </c>
      <c r="H30" s="10" t="inlineStr"/>
      <c r="I30" s="10" t="inlineStr"/>
      <c r="J30" s="10" t="inlineStr"/>
      <c r="K30" s="10" t="inlineStr"/>
      <c r="L30" s="10" t="inlineStr"/>
    </row>
    <row r="31">
      <c r="A31" s="11" t="inlineStr">
        <is>
          <t>UAT-DTE-03</t>
        </is>
      </c>
      <c r="B31" s="10" t="inlineStr">
        <is>
          <t>Any</t>
        </is>
      </c>
      <c r="C31" s="10" t="inlineStr">
        <is>
          <t>Dates</t>
        </is>
      </c>
      <c r="D31" s="10" t="inlineStr"/>
      <c r="E31" s="11" t="inlineStr">
        <is>
          <t>Leave across a month end and on the calendar</t>
        </is>
      </c>
      <c r="F31" s="10" t="inlineStr">
        <is>
          <t>1. Apply for leave from the 30th to the 2nd of the next month, have it approved, and open the calendar for both months.</t>
        </is>
      </c>
      <c r="G31" s="10" t="inlineStr">
        <is>
          <t>- Days is counted correctly (including both end days); the calendar shows the leave on every day in both months.</t>
        </is>
      </c>
      <c r="H31" s="10" t="inlineStr"/>
      <c r="I31" s="10" t="inlineStr"/>
      <c r="J31" s="10" t="inlineStr"/>
      <c r="K31" s="10" t="inlineStr"/>
      <c r="L31" s="10" t="inlineStr"/>
    </row>
    <row r="32">
      <c r="A32" s="11" t="inlineStr">
        <is>
          <t>UAT-DTE-04</t>
        </is>
      </c>
      <c r="B32" s="10" t="inlineStr">
        <is>
          <t>Any</t>
        </is>
      </c>
      <c r="C32" s="10" t="inlineStr">
        <is>
          <t>Dates</t>
        </is>
      </c>
      <c r="D32" s="10" t="inlineStr"/>
      <c r="E32" s="11" t="inlineStr">
        <is>
          <t>The native date pickers</t>
        </is>
      </c>
      <c r="F32" s="10" t="inlineStr">
        <is>
          <t>1. Use the date fields on a phone and a laptop.</t>
        </is>
      </c>
      <c r="G32" s="10" t="inlineStr">
        <is>
          <t>- The picker follows the device's own style (it may show 12/10/2026), but the date chosen is the one shown afterwards as "12 Oct 2026".</t>
        </is>
      </c>
      <c r="H32" s="10" t="inlineStr"/>
      <c r="I32" s="10" t="inlineStr"/>
      <c r="J32" s="10" t="inlineStr"/>
      <c r="K32" s="10" t="inlineStr"/>
      <c r="L32" s="10" t="inlineStr"/>
    </row>
    <row r="33">
      <c r="A33" s="11" t="inlineStr">
        <is>
          <t>UAT-ACC-01</t>
        </is>
      </c>
      <c r="B33" s="10" t="inlineStr">
        <is>
          <t>Any</t>
        </is>
      </c>
      <c r="C33" s="10" t="inlineStr">
        <is>
          <t>Accessibility</t>
        </is>
      </c>
      <c r="D33" s="10" t="inlineStr"/>
      <c r="E33" s="11" t="inlineStr">
        <is>
          <t>Keyboard and zoom</t>
        </is>
      </c>
      <c r="F33" s="10" t="inlineStr">
        <is>
          <t>1. On a laptop use only Tab / Shift+Tab / Enter / Esc to sign in, open a dialog and close it.
2. Zoom the browser to 200 %.</t>
        </is>
      </c>
      <c r="G33" s="10" t="inlineStr">
        <is>
          <t>- Focus is always visible, dialogs trap focus and close with Esc, nothing is cut off at 200 %.</t>
        </is>
      </c>
      <c r="H33" s="10" t="inlineStr"/>
      <c r="I33" s="10" t="inlineStr"/>
      <c r="J33" s="10" t="inlineStr"/>
      <c r="K33" s="10" t="inlineStr"/>
      <c r="L33" s="10" t="inlineStr"/>
    </row>
    <row r="34">
      <c r="A34" s="11" t="inlineStr">
        <is>
          <t>UAT-ERR-01</t>
        </is>
      </c>
      <c r="B34" s="10" t="inlineStr">
        <is>
          <t>Any</t>
        </is>
      </c>
      <c r="C34" s="10" t="inlineStr">
        <is>
          <t>Errors</t>
        </is>
      </c>
      <c r="D34" s="10" t="inlineStr"/>
      <c r="E34" s="11" t="inlineStr">
        <is>
          <t>A mistake is explained in plain words</t>
        </is>
      </c>
      <c r="F34" s="10" t="inlineStr">
        <is>
          <t>1. Submit forms with missing required fields; open an address that does not exist (/nonsense).</t>
        </is>
      </c>
      <c r="G34" s="10" t="inlineStr">
        <is>
          <t>- Messages say what to fix next to the field; unknown addresses show "Not available", never a blank page or technical text.</t>
        </is>
      </c>
      <c r="H34" s="10" t="inlineStr"/>
      <c r="I34" s="10" t="inlineStr"/>
      <c r="J34" s="10" t="inlineStr"/>
      <c r="K34" s="10" t="inlineStr"/>
      <c r="L34" s="10" t="inlineStr"/>
    </row>
  </sheetData>
  <autoFilter ref="A1:L34"/>
  <conditionalFormatting sqref="I2:I34">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34" showDropDown="0" showInputMessage="0" showErrorMessage="0" allowBlank="1" type="list">
      <formula1>"Pass,Fail,Blocked,N/A"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cols>
    <col width="10" customWidth="1" min="1" max="1"/>
    <col width="13" customWidth="1" min="2" max="2"/>
    <col width="12" customWidth="1" min="3" max="3"/>
    <col width="50" customWidth="1" min="4" max="4"/>
    <col width="50" customWidth="1" min="5" max="5"/>
    <col width="14" customWidth="1" min="6" max="6"/>
    <col width="12" customWidth="1" min="7" max="7"/>
    <col width="12" customWidth="1" min="8" max="8"/>
    <col width="40" customWidth="1" min="9" max="9"/>
  </cols>
  <sheetData>
    <row r="1">
      <c r="A1" s="3" t="inlineStr">
        <is>
          <t>Defect #</t>
        </is>
      </c>
      <c r="B1" s="3" t="inlineStr">
        <is>
          <t>Test ID</t>
        </is>
      </c>
      <c r="C1" s="3" t="inlineStr">
        <is>
          <t>Severity</t>
        </is>
      </c>
      <c r="D1" s="3" t="inlineStr">
        <is>
          <t>What went wrong</t>
        </is>
      </c>
      <c r="E1" s="3" t="inlineStr">
        <is>
          <t>How to repeat it</t>
        </is>
      </c>
      <c r="F1" s="3" t="inlineStr">
        <is>
          <t>Found by</t>
        </is>
      </c>
      <c r="G1" s="3" t="inlineStr">
        <is>
          <t>Date</t>
        </is>
      </c>
      <c r="H1" s="3" t="inlineStr">
        <is>
          <t>Status</t>
        </is>
      </c>
      <c r="I1" s="3" t="inlineStr">
        <is>
          <t>Fix / decision</t>
        </is>
      </c>
    </row>
    <row r="2">
      <c r="A2" s="10" t="n">
        <v>1</v>
      </c>
      <c r="B2" s="10" t="n"/>
      <c r="C2" s="10" t="n"/>
      <c r="D2" s="10" t="n"/>
      <c r="E2" s="10" t="n"/>
      <c r="F2" s="10" t="n"/>
      <c r="G2" s="10" t="n"/>
      <c r="H2" s="10" t="n"/>
      <c r="I2" s="10" t="n"/>
    </row>
    <row r="3">
      <c r="A3" s="10" t="n">
        <v>2</v>
      </c>
      <c r="B3" s="10" t="n"/>
      <c r="C3" s="10" t="n"/>
      <c r="D3" s="10" t="n"/>
      <c r="E3" s="10" t="n"/>
      <c r="F3" s="10" t="n"/>
      <c r="G3" s="10" t="n"/>
      <c r="H3" s="10" t="n"/>
      <c r="I3" s="10" t="n"/>
    </row>
    <row r="4">
      <c r="A4" s="10" t="n">
        <v>3</v>
      </c>
      <c r="B4" s="10" t="n"/>
      <c r="C4" s="10" t="n"/>
      <c r="D4" s="10" t="n"/>
      <c r="E4" s="10" t="n"/>
      <c r="F4" s="10" t="n"/>
      <c r="G4" s="10" t="n"/>
      <c r="H4" s="10" t="n"/>
      <c r="I4" s="10" t="n"/>
    </row>
    <row r="5">
      <c r="A5" s="10" t="n">
        <v>4</v>
      </c>
      <c r="B5" s="10" t="n"/>
      <c r="C5" s="10" t="n"/>
      <c r="D5" s="10" t="n"/>
      <c r="E5" s="10" t="n"/>
      <c r="F5" s="10" t="n"/>
      <c r="G5" s="10" t="n"/>
      <c r="H5" s="10" t="n"/>
      <c r="I5" s="10" t="n"/>
    </row>
    <row r="6">
      <c r="A6" s="10" t="n">
        <v>5</v>
      </c>
      <c r="B6" s="10" t="n"/>
      <c r="C6" s="10" t="n"/>
      <c r="D6" s="10" t="n"/>
      <c r="E6" s="10" t="n"/>
      <c r="F6" s="10" t="n"/>
      <c r="G6" s="10" t="n"/>
      <c r="H6" s="10" t="n"/>
      <c r="I6" s="10" t="n"/>
    </row>
    <row r="7">
      <c r="A7" s="10" t="n">
        <v>6</v>
      </c>
      <c r="B7" s="10" t="n"/>
      <c r="C7" s="10" t="n"/>
      <c r="D7" s="10" t="n"/>
      <c r="E7" s="10" t="n"/>
      <c r="F7" s="10" t="n"/>
      <c r="G7" s="10" t="n"/>
      <c r="H7" s="10" t="n"/>
      <c r="I7" s="10" t="n"/>
    </row>
    <row r="8">
      <c r="A8" s="10" t="n">
        <v>7</v>
      </c>
      <c r="B8" s="10" t="n"/>
      <c r="C8" s="10" t="n"/>
      <c r="D8" s="10" t="n"/>
      <c r="E8" s="10" t="n"/>
      <c r="F8" s="10" t="n"/>
      <c r="G8" s="10" t="n"/>
      <c r="H8" s="10" t="n"/>
      <c r="I8" s="10" t="n"/>
    </row>
    <row r="9">
      <c r="A9" s="10" t="n">
        <v>8</v>
      </c>
      <c r="B9" s="10" t="n"/>
      <c r="C9" s="10" t="n"/>
      <c r="D9" s="10" t="n"/>
      <c r="E9" s="10" t="n"/>
      <c r="F9" s="10" t="n"/>
      <c r="G9" s="10" t="n"/>
      <c r="H9" s="10" t="n"/>
      <c r="I9" s="10" t="n"/>
    </row>
    <row r="10">
      <c r="A10" s="10" t="n">
        <v>9</v>
      </c>
      <c r="B10" s="10" t="n"/>
      <c r="C10" s="10" t="n"/>
      <c r="D10" s="10" t="n"/>
      <c r="E10" s="10" t="n"/>
      <c r="F10" s="10" t="n"/>
      <c r="G10" s="10" t="n"/>
      <c r="H10" s="10" t="n"/>
      <c r="I10" s="10" t="n"/>
    </row>
    <row r="11">
      <c r="A11" s="10" t="n">
        <v>10</v>
      </c>
      <c r="B11" s="10" t="n"/>
      <c r="C11" s="10" t="n"/>
      <c r="D11" s="10" t="n"/>
      <c r="E11" s="10" t="n"/>
      <c r="F11" s="10" t="n"/>
      <c r="G11" s="10" t="n"/>
      <c r="H11" s="10" t="n"/>
      <c r="I11" s="10" t="n"/>
    </row>
    <row r="12">
      <c r="A12" s="10" t="n">
        <v>11</v>
      </c>
      <c r="B12" s="10" t="n"/>
      <c r="C12" s="10" t="n"/>
      <c r="D12" s="10" t="n"/>
      <c r="E12" s="10" t="n"/>
      <c r="F12" s="10" t="n"/>
      <c r="G12" s="10" t="n"/>
      <c r="H12" s="10" t="n"/>
      <c r="I12" s="10" t="n"/>
    </row>
    <row r="13">
      <c r="A13" s="10" t="n">
        <v>12</v>
      </c>
      <c r="B13" s="10" t="n"/>
      <c r="C13" s="10" t="n"/>
      <c r="D13" s="10" t="n"/>
      <c r="E13" s="10" t="n"/>
      <c r="F13" s="10" t="n"/>
      <c r="G13" s="10" t="n"/>
      <c r="H13" s="10" t="n"/>
      <c r="I13" s="10" t="n"/>
    </row>
    <row r="14">
      <c r="A14" s="10" t="n">
        <v>13</v>
      </c>
      <c r="B14" s="10" t="n"/>
      <c r="C14" s="10" t="n"/>
      <c r="D14" s="10" t="n"/>
      <c r="E14" s="10" t="n"/>
      <c r="F14" s="10" t="n"/>
      <c r="G14" s="10" t="n"/>
      <c r="H14" s="10" t="n"/>
      <c r="I14" s="10" t="n"/>
    </row>
    <row r="15">
      <c r="A15" s="10" t="n">
        <v>14</v>
      </c>
      <c r="B15" s="10" t="n"/>
      <c r="C15" s="10" t="n"/>
      <c r="D15" s="10" t="n"/>
      <c r="E15" s="10" t="n"/>
      <c r="F15" s="10" t="n"/>
      <c r="G15" s="10" t="n"/>
      <c r="H15" s="10" t="n"/>
      <c r="I15" s="10" t="n"/>
    </row>
    <row r="16">
      <c r="A16" s="10" t="n">
        <v>15</v>
      </c>
      <c r="B16" s="10" t="n"/>
      <c r="C16" s="10" t="n"/>
      <c r="D16" s="10" t="n"/>
      <c r="E16" s="10" t="n"/>
      <c r="F16" s="10" t="n"/>
      <c r="G16" s="10" t="n"/>
      <c r="H16" s="10" t="n"/>
      <c r="I16" s="10" t="n"/>
    </row>
    <row r="17">
      <c r="A17" s="10" t="n">
        <v>16</v>
      </c>
      <c r="B17" s="10" t="n"/>
      <c r="C17" s="10" t="n"/>
      <c r="D17" s="10" t="n"/>
      <c r="E17" s="10" t="n"/>
      <c r="F17" s="10" t="n"/>
      <c r="G17" s="10" t="n"/>
      <c r="H17" s="10" t="n"/>
      <c r="I17" s="10" t="n"/>
    </row>
    <row r="18">
      <c r="A18" s="10" t="n">
        <v>17</v>
      </c>
      <c r="B18" s="10" t="n"/>
      <c r="C18" s="10" t="n"/>
      <c r="D18" s="10" t="n"/>
      <c r="E18" s="10" t="n"/>
      <c r="F18" s="10" t="n"/>
      <c r="G18" s="10" t="n"/>
      <c r="H18" s="10" t="n"/>
      <c r="I18" s="10" t="n"/>
    </row>
    <row r="19">
      <c r="A19" s="10" t="n">
        <v>18</v>
      </c>
      <c r="B19" s="10" t="n"/>
      <c r="C19" s="10" t="n"/>
      <c r="D19" s="10" t="n"/>
      <c r="E19" s="10" t="n"/>
      <c r="F19" s="10" t="n"/>
      <c r="G19" s="10" t="n"/>
      <c r="H19" s="10" t="n"/>
      <c r="I19" s="10" t="n"/>
    </row>
    <row r="20">
      <c r="A20" s="10" t="n">
        <v>19</v>
      </c>
      <c r="B20" s="10" t="n"/>
      <c r="C20" s="10" t="n"/>
      <c r="D20" s="10" t="n"/>
      <c r="E20" s="10" t="n"/>
      <c r="F20" s="10" t="n"/>
      <c r="G20" s="10" t="n"/>
      <c r="H20" s="10" t="n"/>
      <c r="I20" s="10" t="n"/>
    </row>
    <row r="21">
      <c r="A21" s="10" t="n">
        <v>20</v>
      </c>
      <c r="B21" s="10" t="n"/>
      <c r="C21" s="10" t="n"/>
      <c r="D21" s="10" t="n"/>
      <c r="E21" s="10" t="n"/>
      <c r="F21" s="10" t="n"/>
      <c r="G21" s="10" t="n"/>
      <c r="H21" s="10" t="n"/>
      <c r="I21" s="10" t="n"/>
    </row>
    <row r="22">
      <c r="A22" s="10" t="n">
        <v>21</v>
      </c>
      <c r="B22" s="10" t="n"/>
      <c r="C22" s="10" t="n"/>
      <c r="D22" s="10" t="n"/>
      <c r="E22" s="10" t="n"/>
      <c r="F22" s="10" t="n"/>
      <c r="G22" s="10" t="n"/>
      <c r="H22" s="10" t="n"/>
      <c r="I22" s="10" t="n"/>
    </row>
    <row r="23">
      <c r="A23" s="10" t="n">
        <v>22</v>
      </c>
      <c r="B23" s="10" t="n"/>
      <c r="C23" s="10" t="n"/>
      <c r="D23" s="10" t="n"/>
      <c r="E23" s="10" t="n"/>
      <c r="F23" s="10" t="n"/>
      <c r="G23" s="10" t="n"/>
      <c r="H23" s="10" t="n"/>
      <c r="I23" s="10" t="n"/>
    </row>
    <row r="24">
      <c r="A24" s="10" t="n">
        <v>23</v>
      </c>
      <c r="B24" s="10" t="n"/>
      <c r="C24" s="10" t="n"/>
      <c r="D24" s="10" t="n"/>
      <c r="E24" s="10" t="n"/>
      <c r="F24" s="10" t="n"/>
      <c r="G24" s="10" t="n"/>
      <c r="H24" s="10" t="n"/>
      <c r="I24" s="10" t="n"/>
    </row>
    <row r="25">
      <c r="A25" s="10" t="n">
        <v>24</v>
      </c>
      <c r="B25" s="10" t="n"/>
      <c r="C25" s="10" t="n"/>
      <c r="D25" s="10" t="n"/>
      <c r="E25" s="10" t="n"/>
      <c r="F25" s="10" t="n"/>
      <c r="G25" s="10" t="n"/>
      <c r="H25" s="10" t="n"/>
      <c r="I25" s="10" t="n"/>
    </row>
    <row r="26">
      <c r="A26" s="10" t="n">
        <v>25</v>
      </c>
      <c r="B26" s="10" t="n"/>
      <c r="C26" s="10" t="n"/>
      <c r="D26" s="10" t="n"/>
      <c r="E26" s="10" t="n"/>
      <c r="F26" s="10" t="n"/>
      <c r="G26" s="10" t="n"/>
      <c r="H26" s="10" t="n"/>
      <c r="I26" s="10" t="n"/>
    </row>
    <row r="27">
      <c r="A27" s="10" t="n">
        <v>26</v>
      </c>
      <c r="B27" s="10" t="n"/>
      <c r="C27" s="10" t="n"/>
      <c r="D27" s="10" t="n"/>
      <c r="E27" s="10" t="n"/>
      <c r="F27" s="10" t="n"/>
      <c r="G27" s="10" t="n"/>
      <c r="H27" s="10" t="n"/>
      <c r="I27" s="10" t="n"/>
    </row>
    <row r="28">
      <c r="A28" s="10" t="n">
        <v>27</v>
      </c>
      <c r="B28" s="10" t="n"/>
      <c r="C28" s="10" t="n"/>
      <c r="D28" s="10" t="n"/>
      <c r="E28" s="10" t="n"/>
      <c r="F28" s="10" t="n"/>
      <c r="G28" s="10" t="n"/>
      <c r="H28" s="10" t="n"/>
      <c r="I28" s="10" t="n"/>
    </row>
    <row r="29">
      <c r="A29" s="10" t="n">
        <v>28</v>
      </c>
      <c r="B29" s="10" t="n"/>
      <c r="C29" s="10" t="n"/>
      <c r="D29" s="10" t="n"/>
      <c r="E29" s="10" t="n"/>
      <c r="F29" s="10" t="n"/>
      <c r="G29" s="10" t="n"/>
      <c r="H29" s="10" t="n"/>
      <c r="I29" s="10" t="n"/>
    </row>
    <row r="30">
      <c r="A30" s="10" t="n">
        <v>29</v>
      </c>
      <c r="B30" s="10" t="n"/>
      <c r="C30" s="10" t="n"/>
      <c r="D30" s="10" t="n"/>
      <c r="E30" s="10" t="n"/>
      <c r="F30" s="10" t="n"/>
      <c r="G30" s="10" t="n"/>
      <c r="H30" s="10" t="n"/>
      <c r="I30" s="10" t="n"/>
    </row>
    <row r="31">
      <c r="A31" s="10" t="n">
        <v>30</v>
      </c>
      <c r="B31" s="10" t="n"/>
      <c r="C31" s="10" t="n"/>
      <c r="D31" s="10" t="n"/>
      <c r="E31" s="10" t="n"/>
      <c r="F31" s="10" t="n"/>
      <c r="G31" s="10" t="n"/>
      <c r="H31" s="10" t="n"/>
      <c r="I31" s="10" t="n"/>
    </row>
    <row r="32">
      <c r="A32" s="10" t="n">
        <v>31</v>
      </c>
      <c r="B32" s="10" t="n"/>
      <c r="C32" s="10" t="n"/>
      <c r="D32" s="10" t="n"/>
      <c r="E32" s="10" t="n"/>
      <c r="F32" s="10" t="n"/>
      <c r="G32" s="10" t="n"/>
      <c r="H32" s="10" t="n"/>
      <c r="I32" s="10" t="n"/>
    </row>
    <row r="33">
      <c r="A33" s="10" t="n">
        <v>32</v>
      </c>
      <c r="B33" s="10" t="n"/>
      <c r="C33" s="10" t="n"/>
      <c r="D33" s="10" t="n"/>
      <c r="E33" s="10" t="n"/>
      <c r="F33" s="10" t="n"/>
      <c r="G33" s="10" t="n"/>
      <c r="H33" s="10" t="n"/>
      <c r="I33" s="10" t="n"/>
    </row>
    <row r="34">
      <c r="A34" s="10" t="n">
        <v>33</v>
      </c>
      <c r="B34" s="10" t="n"/>
      <c r="C34" s="10" t="n"/>
      <c r="D34" s="10" t="n"/>
      <c r="E34" s="10" t="n"/>
      <c r="F34" s="10" t="n"/>
      <c r="G34" s="10" t="n"/>
      <c r="H34" s="10" t="n"/>
      <c r="I34" s="10" t="n"/>
    </row>
    <row r="35">
      <c r="A35" s="10" t="n">
        <v>34</v>
      </c>
      <c r="B35" s="10" t="n"/>
      <c r="C35" s="10" t="n"/>
      <c r="D35" s="10" t="n"/>
      <c r="E35" s="10" t="n"/>
      <c r="F35" s="10" t="n"/>
      <c r="G35" s="10" t="n"/>
      <c r="H35" s="10" t="n"/>
      <c r="I35" s="10" t="n"/>
    </row>
    <row r="36">
      <c r="A36" s="10" t="n">
        <v>35</v>
      </c>
      <c r="B36" s="10" t="n"/>
      <c r="C36" s="10" t="n"/>
      <c r="D36" s="10" t="n"/>
      <c r="E36" s="10" t="n"/>
      <c r="F36" s="10" t="n"/>
      <c r="G36" s="10" t="n"/>
      <c r="H36" s="10" t="n"/>
      <c r="I36" s="10" t="n"/>
    </row>
    <row r="37">
      <c r="A37" s="10" t="n">
        <v>36</v>
      </c>
      <c r="B37" s="10" t="n"/>
      <c r="C37" s="10" t="n"/>
      <c r="D37" s="10" t="n"/>
      <c r="E37" s="10" t="n"/>
      <c r="F37" s="10" t="n"/>
      <c r="G37" s="10" t="n"/>
      <c r="H37" s="10" t="n"/>
      <c r="I37" s="10" t="n"/>
    </row>
    <row r="38">
      <c r="A38" s="10" t="n">
        <v>37</v>
      </c>
      <c r="B38" s="10" t="n"/>
      <c r="C38" s="10" t="n"/>
      <c r="D38" s="10" t="n"/>
      <c r="E38" s="10" t="n"/>
      <c r="F38" s="10" t="n"/>
      <c r="G38" s="10" t="n"/>
      <c r="H38" s="10" t="n"/>
      <c r="I38" s="10" t="n"/>
    </row>
    <row r="39">
      <c r="A39" s="10" t="n">
        <v>38</v>
      </c>
      <c r="B39" s="10" t="n"/>
      <c r="C39" s="10" t="n"/>
      <c r="D39" s="10" t="n"/>
      <c r="E39" s="10" t="n"/>
      <c r="F39" s="10" t="n"/>
      <c r="G39" s="10" t="n"/>
      <c r="H39" s="10" t="n"/>
      <c r="I39" s="10" t="n"/>
    </row>
    <row r="40">
      <c r="A40" s="10" t="n">
        <v>39</v>
      </c>
      <c r="B40" s="10" t="n"/>
      <c r="C40" s="10" t="n"/>
      <c r="D40" s="10" t="n"/>
      <c r="E40" s="10" t="n"/>
      <c r="F40" s="10" t="n"/>
      <c r="G40" s="10" t="n"/>
      <c r="H40" s="10" t="n"/>
      <c r="I40" s="10" t="n"/>
    </row>
    <row r="41">
      <c r="A41" s="10" t="n">
        <v>40</v>
      </c>
      <c r="B41" s="10" t="n"/>
      <c r="C41" s="10" t="n"/>
      <c r="D41" s="10" t="n"/>
      <c r="E41" s="10" t="n"/>
      <c r="F41" s="10" t="n"/>
      <c r="G41" s="10" t="n"/>
      <c r="H41" s="10" t="n"/>
      <c r="I41" s="10" t="n"/>
    </row>
    <row r="42">
      <c r="A42" s="10" t="n">
        <v>41</v>
      </c>
      <c r="B42" s="10" t="n"/>
      <c r="C42" s="10" t="n"/>
      <c r="D42" s="10" t="n"/>
      <c r="E42" s="10" t="n"/>
      <c r="F42" s="10" t="n"/>
      <c r="G42" s="10" t="n"/>
      <c r="H42" s="10" t="n"/>
      <c r="I42" s="10" t="n"/>
    </row>
    <row r="43">
      <c r="A43" s="10" t="n">
        <v>42</v>
      </c>
      <c r="B43" s="10" t="n"/>
      <c r="C43" s="10" t="n"/>
      <c r="D43" s="10" t="n"/>
      <c r="E43" s="10" t="n"/>
      <c r="F43" s="10" t="n"/>
      <c r="G43" s="10" t="n"/>
      <c r="H43" s="10" t="n"/>
      <c r="I43" s="10" t="n"/>
    </row>
    <row r="44">
      <c r="A44" s="10" t="n">
        <v>43</v>
      </c>
      <c r="B44" s="10" t="n"/>
      <c r="C44" s="10" t="n"/>
      <c r="D44" s="10" t="n"/>
      <c r="E44" s="10" t="n"/>
      <c r="F44" s="10" t="n"/>
      <c r="G44" s="10" t="n"/>
      <c r="H44" s="10" t="n"/>
      <c r="I44" s="10" t="n"/>
    </row>
    <row r="45">
      <c r="A45" s="10" t="n">
        <v>44</v>
      </c>
      <c r="B45" s="10" t="n"/>
      <c r="C45" s="10" t="n"/>
      <c r="D45" s="10" t="n"/>
      <c r="E45" s="10" t="n"/>
      <c r="F45" s="10" t="n"/>
      <c r="G45" s="10" t="n"/>
      <c r="H45" s="10" t="n"/>
      <c r="I45" s="10" t="n"/>
    </row>
    <row r="46">
      <c r="A46" s="10" t="n">
        <v>45</v>
      </c>
      <c r="B46" s="10" t="n"/>
      <c r="C46" s="10" t="n"/>
      <c r="D46" s="10" t="n"/>
      <c r="E46" s="10" t="n"/>
      <c r="F46" s="10" t="n"/>
      <c r="G46" s="10" t="n"/>
      <c r="H46" s="10" t="n"/>
      <c r="I46" s="10" t="n"/>
    </row>
    <row r="47">
      <c r="A47" s="10" t="n">
        <v>46</v>
      </c>
      <c r="B47" s="10" t="n"/>
      <c r="C47" s="10" t="n"/>
      <c r="D47" s="10" t="n"/>
      <c r="E47" s="10" t="n"/>
      <c r="F47" s="10" t="n"/>
      <c r="G47" s="10" t="n"/>
      <c r="H47" s="10" t="n"/>
      <c r="I47" s="10" t="n"/>
    </row>
    <row r="48">
      <c r="A48" s="10" t="n">
        <v>47</v>
      </c>
      <c r="B48" s="10" t="n"/>
      <c r="C48" s="10" t="n"/>
      <c r="D48" s="10" t="n"/>
      <c r="E48" s="10" t="n"/>
      <c r="F48" s="10" t="n"/>
      <c r="G48" s="10" t="n"/>
      <c r="H48" s="10" t="n"/>
      <c r="I48" s="10" t="n"/>
    </row>
    <row r="49">
      <c r="A49" s="10" t="n">
        <v>48</v>
      </c>
      <c r="B49" s="10" t="n"/>
      <c r="C49" s="10" t="n"/>
      <c r="D49" s="10" t="n"/>
      <c r="E49" s="10" t="n"/>
      <c r="F49" s="10" t="n"/>
      <c r="G49" s="10" t="n"/>
      <c r="H49" s="10" t="n"/>
      <c r="I49" s="10" t="n"/>
    </row>
    <row r="50">
      <c r="A50" s="10" t="n">
        <v>49</v>
      </c>
      <c r="B50" s="10" t="n"/>
      <c r="C50" s="10" t="n"/>
      <c r="D50" s="10" t="n"/>
      <c r="E50" s="10" t="n"/>
      <c r="F50" s="10" t="n"/>
      <c r="G50" s="10" t="n"/>
      <c r="H50" s="10" t="n"/>
      <c r="I50" s="10" t="n"/>
    </row>
    <row r="51">
      <c r="A51" s="10" t="n">
        <v>50</v>
      </c>
      <c r="B51" s="10" t="n"/>
      <c r="C51" s="10" t="n"/>
      <c r="D51" s="10" t="n"/>
      <c r="E51" s="10" t="n"/>
      <c r="F51" s="10" t="n"/>
      <c r="G51" s="10" t="n"/>
      <c r="H51" s="10" t="n"/>
      <c r="I51" s="10" t="n"/>
    </row>
    <row r="52">
      <c r="A52" s="10" t="n">
        <v>51</v>
      </c>
      <c r="B52" s="10" t="n"/>
      <c r="C52" s="10" t="n"/>
      <c r="D52" s="10" t="n"/>
      <c r="E52" s="10" t="n"/>
      <c r="F52" s="10" t="n"/>
      <c r="G52" s="10" t="n"/>
      <c r="H52" s="10" t="n"/>
      <c r="I52" s="10" t="n"/>
    </row>
    <row r="53">
      <c r="A53" s="10" t="n">
        <v>52</v>
      </c>
      <c r="B53" s="10" t="n"/>
      <c r="C53" s="10" t="n"/>
      <c r="D53" s="10" t="n"/>
      <c r="E53" s="10" t="n"/>
      <c r="F53" s="10" t="n"/>
      <c r="G53" s="10" t="n"/>
      <c r="H53" s="10" t="n"/>
      <c r="I53" s="10" t="n"/>
    </row>
    <row r="54">
      <c r="A54" s="10" t="n">
        <v>53</v>
      </c>
      <c r="B54" s="10" t="n"/>
      <c r="C54" s="10" t="n"/>
      <c r="D54" s="10" t="n"/>
      <c r="E54" s="10" t="n"/>
      <c r="F54" s="10" t="n"/>
      <c r="G54" s="10" t="n"/>
      <c r="H54" s="10" t="n"/>
      <c r="I54" s="10" t="n"/>
    </row>
    <row r="55">
      <c r="A55" s="10" t="n">
        <v>54</v>
      </c>
      <c r="B55" s="10" t="n"/>
      <c r="C55" s="10" t="n"/>
      <c r="D55" s="10" t="n"/>
      <c r="E55" s="10" t="n"/>
      <c r="F55" s="10" t="n"/>
      <c r="G55" s="10" t="n"/>
      <c r="H55" s="10" t="n"/>
      <c r="I55" s="10" t="n"/>
    </row>
    <row r="56">
      <c r="A56" s="10" t="n">
        <v>55</v>
      </c>
      <c r="B56" s="10" t="n"/>
      <c r="C56" s="10" t="n"/>
      <c r="D56" s="10" t="n"/>
      <c r="E56" s="10" t="n"/>
      <c r="F56" s="10" t="n"/>
      <c r="G56" s="10" t="n"/>
      <c r="H56" s="10" t="n"/>
      <c r="I56" s="10" t="n"/>
    </row>
    <row r="57">
      <c r="A57" s="10" t="n">
        <v>56</v>
      </c>
      <c r="B57" s="10" t="n"/>
      <c r="C57" s="10" t="n"/>
      <c r="D57" s="10" t="n"/>
      <c r="E57" s="10" t="n"/>
      <c r="F57" s="10" t="n"/>
      <c r="G57" s="10" t="n"/>
      <c r="H57" s="10" t="n"/>
      <c r="I57" s="10" t="n"/>
    </row>
    <row r="58">
      <c r="A58" s="10" t="n">
        <v>57</v>
      </c>
      <c r="B58" s="10" t="n"/>
      <c r="C58" s="10" t="n"/>
      <c r="D58" s="10" t="n"/>
      <c r="E58" s="10" t="n"/>
      <c r="F58" s="10" t="n"/>
      <c r="G58" s="10" t="n"/>
      <c r="H58" s="10" t="n"/>
      <c r="I58" s="10" t="n"/>
    </row>
    <row r="59">
      <c r="A59" s="10" t="n">
        <v>58</v>
      </c>
      <c r="B59" s="10" t="n"/>
      <c r="C59" s="10" t="n"/>
      <c r="D59" s="10" t="n"/>
      <c r="E59" s="10" t="n"/>
      <c r="F59" s="10" t="n"/>
      <c r="G59" s="10" t="n"/>
      <c r="H59" s="10" t="n"/>
      <c r="I59" s="10" t="n"/>
    </row>
    <row r="60">
      <c r="A60" s="10" t="n">
        <v>59</v>
      </c>
      <c r="B60" s="10" t="n"/>
      <c r="C60" s="10" t="n"/>
      <c r="D60" s="10" t="n"/>
      <c r="E60" s="10" t="n"/>
      <c r="F60" s="10" t="n"/>
      <c r="G60" s="10" t="n"/>
      <c r="H60" s="10" t="n"/>
      <c r="I60" s="10" t="n"/>
    </row>
    <row r="61">
      <c r="A61" s="10" t="n">
        <v>60</v>
      </c>
      <c r="B61" s="10" t="n"/>
      <c r="C61" s="10" t="n"/>
      <c r="D61" s="10" t="n"/>
      <c r="E61" s="10" t="n"/>
      <c r="F61" s="10" t="n"/>
      <c r="G61" s="10" t="n"/>
      <c r="H61" s="10" t="n"/>
      <c r="I61" s="10" t="n"/>
    </row>
    <row r="62">
      <c r="A62" s="10" t="n">
        <v>61</v>
      </c>
      <c r="B62" s="10" t="n"/>
      <c r="C62" s="10" t="n"/>
      <c r="D62" s="10" t="n"/>
      <c r="E62" s="10" t="n"/>
      <c r="F62" s="10" t="n"/>
      <c r="G62" s="10" t="n"/>
      <c r="H62" s="10" t="n"/>
      <c r="I62" s="10" t="n"/>
    </row>
    <row r="63">
      <c r="A63" s="10" t="n">
        <v>62</v>
      </c>
      <c r="B63" s="10" t="n"/>
      <c r="C63" s="10" t="n"/>
      <c r="D63" s="10" t="n"/>
      <c r="E63" s="10" t="n"/>
      <c r="F63" s="10" t="n"/>
      <c r="G63" s="10" t="n"/>
      <c r="H63" s="10" t="n"/>
      <c r="I63" s="10" t="n"/>
    </row>
    <row r="64">
      <c r="A64" s="10" t="n">
        <v>63</v>
      </c>
      <c r="B64" s="10" t="n"/>
      <c r="C64" s="10" t="n"/>
      <c r="D64" s="10" t="n"/>
      <c r="E64" s="10" t="n"/>
      <c r="F64" s="10" t="n"/>
      <c r="G64" s="10" t="n"/>
      <c r="H64" s="10" t="n"/>
      <c r="I64" s="10" t="n"/>
    </row>
    <row r="65">
      <c r="A65" s="10" t="n">
        <v>64</v>
      </c>
      <c r="B65" s="10" t="n"/>
      <c r="C65" s="10" t="n"/>
      <c r="D65" s="10" t="n"/>
      <c r="E65" s="10" t="n"/>
      <c r="F65" s="10" t="n"/>
      <c r="G65" s="10" t="n"/>
      <c r="H65" s="10" t="n"/>
      <c r="I65" s="10" t="n"/>
    </row>
    <row r="66">
      <c r="A66" s="10" t="n">
        <v>65</v>
      </c>
      <c r="B66" s="10" t="n"/>
      <c r="C66" s="10" t="n"/>
      <c r="D66" s="10" t="n"/>
      <c r="E66" s="10" t="n"/>
      <c r="F66" s="10" t="n"/>
      <c r="G66" s="10" t="n"/>
      <c r="H66" s="10" t="n"/>
      <c r="I66" s="10" t="n"/>
    </row>
    <row r="67">
      <c r="A67" s="10" t="n">
        <v>66</v>
      </c>
      <c r="B67" s="10" t="n"/>
      <c r="C67" s="10" t="n"/>
      <c r="D67" s="10" t="n"/>
      <c r="E67" s="10" t="n"/>
      <c r="F67" s="10" t="n"/>
      <c r="G67" s="10" t="n"/>
      <c r="H67" s="10" t="n"/>
      <c r="I67" s="10" t="n"/>
    </row>
    <row r="68">
      <c r="A68" s="10" t="n">
        <v>67</v>
      </c>
      <c r="B68" s="10" t="n"/>
      <c r="C68" s="10" t="n"/>
      <c r="D68" s="10" t="n"/>
      <c r="E68" s="10" t="n"/>
      <c r="F68" s="10" t="n"/>
      <c r="G68" s="10" t="n"/>
      <c r="H68" s="10" t="n"/>
      <c r="I68" s="10" t="n"/>
    </row>
    <row r="69">
      <c r="A69" s="10" t="n">
        <v>68</v>
      </c>
      <c r="B69" s="10" t="n"/>
      <c r="C69" s="10" t="n"/>
      <c r="D69" s="10" t="n"/>
      <c r="E69" s="10" t="n"/>
      <c r="F69" s="10" t="n"/>
      <c r="G69" s="10" t="n"/>
      <c r="H69" s="10" t="n"/>
      <c r="I69" s="10" t="n"/>
    </row>
    <row r="70">
      <c r="A70" s="10" t="n">
        <v>69</v>
      </c>
      <c r="B70" s="10" t="n"/>
      <c r="C70" s="10" t="n"/>
      <c r="D70" s="10" t="n"/>
      <c r="E70" s="10" t="n"/>
      <c r="F70" s="10" t="n"/>
      <c r="G70" s="10" t="n"/>
      <c r="H70" s="10" t="n"/>
      <c r="I70" s="10" t="n"/>
    </row>
    <row r="71">
      <c r="A71" s="10" t="n">
        <v>70</v>
      </c>
      <c r="B71" s="10" t="n"/>
      <c r="C71" s="10" t="n"/>
      <c r="D71" s="10" t="n"/>
      <c r="E71" s="10" t="n"/>
      <c r="F71" s="10" t="n"/>
      <c r="G71" s="10" t="n"/>
      <c r="H71" s="10" t="n"/>
      <c r="I71" s="10" t="n"/>
    </row>
    <row r="72">
      <c r="A72" s="10" t="n">
        <v>71</v>
      </c>
      <c r="B72" s="10" t="n"/>
      <c r="C72" s="10" t="n"/>
      <c r="D72" s="10" t="n"/>
      <c r="E72" s="10" t="n"/>
      <c r="F72" s="10" t="n"/>
      <c r="G72" s="10" t="n"/>
      <c r="H72" s="10" t="n"/>
      <c r="I72" s="10" t="n"/>
    </row>
    <row r="73">
      <c r="A73" s="10" t="n">
        <v>72</v>
      </c>
      <c r="B73" s="10" t="n"/>
      <c r="C73" s="10" t="n"/>
      <c r="D73" s="10" t="n"/>
      <c r="E73" s="10" t="n"/>
      <c r="F73" s="10" t="n"/>
      <c r="G73" s="10" t="n"/>
      <c r="H73" s="10" t="n"/>
      <c r="I73" s="10" t="n"/>
    </row>
    <row r="74">
      <c r="A74" s="10" t="n">
        <v>73</v>
      </c>
      <c r="B74" s="10" t="n"/>
      <c r="C74" s="10" t="n"/>
      <c r="D74" s="10" t="n"/>
      <c r="E74" s="10" t="n"/>
      <c r="F74" s="10" t="n"/>
      <c r="G74" s="10" t="n"/>
      <c r="H74" s="10" t="n"/>
      <c r="I74" s="10" t="n"/>
    </row>
    <row r="75">
      <c r="A75" s="10" t="n">
        <v>74</v>
      </c>
      <c r="B75" s="10" t="n"/>
      <c r="C75" s="10" t="n"/>
      <c r="D75" s="10" t="n"/>
      <c r="E75" s="10" t="n"/>
      <c r="F75" s="10" t="n"/>
      <c r="G75" s="10" t="n"/>
      <c r="H75" s="10" t="n"/>
      <c r="I75" s="10" t="n"/>
    </row>
    <row r="76">
      <c r="A76" s="10" t="n">
        <v>75</v>
      </c>
      <c r="B76" s="10" t="n"/>
      <c r="C76" s="10" t="n"/>
      <c r="D76" s="10" t="n"/>
      <c r="E76" s="10" t="n"/>
      <c r="F76" s="10" t="n"/>
      <c r="G76" s="10" t="n"/>
      <c r="H76" s="10" t="n"/>
      <c r="I76" s="10" t="n"/>
    </row>
    <row r="77">
      <c r="A77" s="10" t="n">
        <v>76</v>
      </c>
      <c r="B77" s="10" t="n"/>
      <c r="C77" s="10" t="n"/>
      <c r="D77" s="10" t="n"/>
      <c r="E77" s="10" t="n"/>
      <c r="F77" s="10" t="n"/>
      <c r="G77" s="10" t="n"/>
      <c r="H77" s="10" t="n"/>
      <c r="I77" s="10" t="n"/>
    </row>
    <row r="78">
      <c r="A78" s="10" t="n">
        <v>77</v>
      </c>
      <c r="B78" s="10" t="n"/>
      <c r="C78" s="10" t="n"/>
      <c r="D78" s="10" t="n"/>
      <c r="E78" s="10" t="n"/>
      <c r="F78" s="10" t="n"/>
      <c r="G78" s="10" t="n"/>
      <c r="H78" s="10" t="n"/>
      <c r="I78" s="10" t="n"/>
    </row>
    <row r="79">
      <c r="A79" s="10" t="n">
        <v>78</v>
      </c>
      <c r="B79" s="10" t="n"/>
      <c r="C79" s="10" t="n"/>
      <c r="D79" s="10" t="n"/>
      <c r="E79" s="10" t="n"/>
      <c r="F79" s="10" t="n"/>
      <c r="G79" s="10" t="n"/>
      <c r="H79" s="10" t="n"/>
      <c r="I79" s="10" t="n"/>
    </row>
    <row r="80">
      <c r="A80" s="10" t="n">
        <v>79</v>
      </c>
      <c r="B80" s="10" t="n"/>
      <c r="C80" s="10" t="n"/>
      <c r="D80" s="10" t="n"/>
      <c r="E80" s="10" t="n"/>
      <c r="F80" s="10" t="n"/>
      <c r="G80" s="10" t="n"/>
      <c r="H80" s="10" t="n"/>
      <c r="I80" s="10" t="n"/>
    </row>
    <row r="81">
      <c r="A81" s="10" t="n">
        <v>80</v>
      </c>
      <c r="B81" s="10" t="n"/>
      <c r="C81" s="10" t="n"/>
      <c r="D81" s="10" t="n"/>
      <c r="E81" s="10" t="n"/>
      <c r="F81" s="10" t="n"/>
      <c r="G81" s="10" t="n"/>
      <c r="H81" s="10" t="n"/>
      <c r="I81" s="10" t="n"/>
    </row>
    <row r="82">
      <c r="A82" s="10" t="n">
        <v>81</v>
      </c>
      <c r="B82" s="10" t="n"/>
      <c r="C82" s="10" t="n"/>
      <c r="D82" s="10" t="n"/>
      <c r="E82" s="10" t="n"/>
      <c r="F82" s="10" t="n"/>
      <c r="G82" s="10" t="n"/>
      <c r="H82" s="10" t="n"/>
      <c r="I82" s="10" t="n"/>
    </row>
    <row r="83">
      <c r="A83" s="10" t="n">
        <v>82</v>
      </c>
      <c r="B83" s="10" t="n"/>
      <c r="C83" s="10" t="n"/>
      <c r="D83" s="10" t="n"/>
      <c r="E83" s="10" t="n"/>
      <c r="F83" s="10" t="n"/>
      <c r="G83" s="10" t="n"/>
      <c r="H83" s="10" t="n"/>
      <c r="I83" s="10" t="n"/>
    </row>
    <row r="84">
      <c r="A84" s="10" t="n">
        <v>83</v>
      </c>
      <c r="B84" s="10" t="n"/>
      <c r="C84" s="10" t="n"/>
      <c r="D84" s="10" t="n"/>
      <c r="E84" s="10" t="n"/>
      <c r="F84" s="10" t="n"/>
      <c r="G84" s="10" t="n"/>
      <c r="H84" s="10" t="n"/>
      <c r="I84" s="10" t="n"/>
    </row>
    <row r="85">
      <c r="A85" s="10" t="n">
        <v>84</v>
      </c>
      <c r="B85" s="10" t="n"/>
      <c r="C85" s="10" t="n"/>
      <c r="D85" s="10" t="n"/>
      <c r="E85" s="10" t="n"/>
      <c r="F85" s="10" t="n"/>
      <c r="G85" s="10" t="n"/>
      <c r="H85" s="10" t="n"/>
      <c r="I85" s="10" t="n"/>
    </row>
    <row r="86">
      <c r="A86" s="10" t="n">
        <v>85</v>
      </c>
      <c r="B86" s="10" t="n"/>
      <c r="C86" s="10" t="n"/>
      <c r="D86" s="10" t="n"/>
      <c r="E86" s="10" t="n"/>
      <c r="F86" s="10" t="n"/>
      <c r="G86" s="10" t="n"/>
      <c r="H86" s="10" t="n"/>
      <c r="I86" s="10" t="n"/>
    </row>
    <row r="87">
      <c r="A87" s="10" t="n">
        <v>86</v>
      </c>
      <c r="B87" s="10" t="n"/>
      <c r="C87" s="10" t="n"/>
      <c r="D87" s="10" t="n"/>
      <c r="E87" s="10" t="n"/>
      <c r="F87" s="10" t="n"/>
      <c r="G87" s="10" t="n"/>
      <c r="H87" s="10" t="n"/>
      <c r="I87" s="10" t="n"/>
    </row>
    <row r="88">
      <c r="A88" s="10" t="n">
        <v>87</v>
      </c>
      <c r="B88" s="10" t="n"/>
      <c r="C88" s="10" t="n"/>
      <c r="D88" s="10" t="n"/>
      <c r="E88" s="10" t="n"/>
      <c r="F88" s="10" t="n"/>
      <c r="G88" s="10" t="n"/>
      <c r="H88" s="10" t="n"/>
      <c r="I88" s="10" t="n"/>
    </row>
    <row r="89">
      <c r="A89" s="10" t="n">
        <v>88</v>
      </c>
      <c r="B89" s="10" t="n"/>
      <c r="C89" s="10" t="n"/>
      <c r="D89" s="10" t="n"/>
      <c r="E89" s="10" t="n"/>
      <c r="F89" s="10" t="n"/>
      <c r="G89" s="10" t="n"/>
      <c r="H89" s="10" t="n"/>
      <c r="I89" s="10" t="n"/>
    </row>
    <row r="90">
      <c r="A90" s="10" t="n">
        <v>89</v>
      </c>
      <c r="B90" s="10" t="n"/>
      <c r="C90" s="10" t="n"/>
      <c r="D90" s="10" t="n"/>
      <c r="E90" s="10" t="n"/>
      <c r="F90" s="10" t="n"/>
      <c r="G90" s="10" t="n"/>
      <c r="H90" s="10" t="n"/>
      <c r="I90" s="10" t="n"/>
    </row>
    <row r="91">
      <c r="A91" s="10" t="n">
        <v>90</v>
      </c>
      <c r="B91" s="10" t="n"/>
      <c r="C91" s="10" t="n"/>
      <c r="D91" s="10" t="n"/>
      <c r="E91" s="10" t="n"/>
      <c r="F91" s="10" t="n"/>
      <c r="G91" s="10" t="n"/>
      <c r="H91" s="10" t="n"/>
      <c r="I91" s="10" t="n"/>
    </row>
    <row r="92">
      <c r="A92" s="10" t="n">
        <v>91</v>
      </c>
      <c r="B92" s="10" t="n"/>
      <c r="C92" s="10" t="n"/>
      <c r="D92" s="10" t="n"/>
      <c r="E92" s="10" t="n"/>
      <c r="F92" s="10" t="n"/>
      <c r="G92" s="10" t="n"/>
      <c r="H92" s="10" t="n"/>
      <c r="I92" s="10" t="n"/>
    </row>
    <row r="93">
      <c r="A93" s="10" t="n">
        <v>92</v>
      </c>
      <c r="B93" s="10" t="n"/>
      <c r="C93" s="10" t="n"/>
      <c r="D93" s="10" t="n"/>
      <c r="E93" s="10" t="n"/>
      <c r="F93" s="10" t="n"/>
      <c r="G93" s="10" t="n"/>
      <c r="H93" s="10" t="n"/>
      <c r="I93" s="10" t="n"/>
    </row>
    <row r="94">
      <c r="A94" s="10" t="n">
        <v>93</v>
      </c>
      <c r="B94" s="10" t="n"/>
      <c r="C94" s="10" t="n"/>
      <c r="D94" s="10" t="n"/>
      <c r="E94" s="10" t="n"/>
      <c r="F94" s="10" t="n"/>
      <c r="G94" s="10" t="n"/>
      <c r="H94" s="10" t="n"/>
      <c r="I94" s="10" t="n"/>
    </row>
    <row r="95">
      <c r="A95" s="10" t="n">
        <v>94</v>
      </c>
      <c r="B95" s="10" t="n"/>
      <c r="C95" s="10" t="n"/>
      <c r="D95" s="10" t="n"/>
      <c r="E95" s="10" t="n"/>
      <c r="F95" s="10" t="n"/>
      <c r="G95" s="10" t="n"/>
      <c r="H95" s="10" t="n"/>
      <c r="I95" s="10" t="n"/>
    </row>
    <row r="96">
      <c r="A96" s="10" t="n">
        <v>95</v>
      </c>
      <c r="B96" s="10" t="n"/>
      <c r="C96" s="10" t="n"/>
      <c r="D96" s="10" t="n"/>
      <c r="E96" s="10" t="n"/>
      <c r="F96" s="10" t="n"/>
      <c r="G96" s="10" t="n"/>
      <c r="H96" s="10" t="n"/>
      <c r="I96" s="10" t="n"/>
    </row>
    <row r="97">
      <c r="A97" s="10" t="n">
        <v>96</v>
      </c>
      <c r="B97" s="10" t="n"/>
      <c r="C97" s="10" t="n"/>
      <c r="D97" s="10" t="n"/>
      <c r="E97" s="10" t="n"/>
      <c r="F97" s="10" t="n"/>
      <c r="G97" s="10" t="n"/>
      <c r="H97" s="10" t="n"/>
      <c r="I97" s="10" t="n"/>
    </row>
    <row r="98">
      <c r="A98" s="10" t="n">
        <v>97</v>
      </c>
      <c r="B98" s="10" t="n"/>
      <c r="C98" s="10" t="n"/>
      <c r="D98" s="10" t="n"/>
      <c r="E98" s="10" t="n"/>
      <c r="F98" s="10" t="n"/>
      <c r="G98" s="10" t="n"/>
      <c r="H98" s="10" t="n"/>
      <c r="I98" s="10" t="n"/>
    </row>
    <row r="99">
      <c r="A99" s="10" t="n">
        <v>98</v>
      </c>
      <c r="B99" s="10" t="n"/>
      <c r="C99" s="10" t="n"/>
      <c r="D99" s="10" t="n"/>
      <c r="E99" s="10" t="n"/>
      <c r="F99" s="10" t="n"/>
      <c r="G99" s="10" t="n"/>
      <c r="H99" s="10" t="n"/>
      <c r="I99" s="10" t="n"/>
    </row>
    <row r="100">
      <c r="A100" s="10" t="n">
        <v>99</v>
      </c>
      <c r="B100" s="10" t="n"/>
      <c r="C100" s="10" t="n"/>
      <c r="D100" s="10" t="n"/>
      <c r="E100" s="10" t="n"/>
      <c r="F100" s="10" t="n"/>
      <c r="G100" s="10" t="n"/>
      <c r="H100" s="10" t="n"/>
      <c r="I100" s="10" t="n"/>
    </row>
    <row r="101">
      <c r="A101" s="10" t="n">
        <v>100</v>
      </c>
      <c r="B101" s="10" t="n"/>
      <c r="C101" s="10" t="n"/>
      <c r="D101" s="10" t="n"/>
      <c r="E101" s="10" t="n"/>
      <c r="F101" s="10" t="n"/>
      <c r="G101" s="10" t="n"/>
      <c r="H101" s="10" t="n"/>
      <c r="I101" s="10" t="n"/>
    </row>
    <row r="102">
      <c r="A102" s="10" t="n">
        <v>101</v>
      </c>
      <c r="B102" s="10" t="n"/>
      <c r="C102" s="10" t="n"/>
      <c r="D102" s="10" t="n"/>
      <c r="E102" s="10" t="n"/>
      <c r="F102" s="10" t="n"/>
      <c r="G102" s="10" t="n"/>
      <c r="H102" s="10" t="n"/>
      <c r="I102" s="10" t="n"/>
    </row>
    <row r="103">
      <c r="A103" s="10" t="n">
        <v>102</v>
      </c>
      <c r="B103" s="10" t="n"/>
      <c r="C103" s="10" t="n"/>
      <c r="D103" s="10" t="n"/>
      <c r="E103" s="10" t="n"/>
      <c r="F103" s="10" t="n"/>
      <c r="G103" s="10" t="n"/>
      <c r="H103" s="10" t="n"/>
      <c r="I103" s="10" t="n"/>
    </row>
    <row r="104">
      <c r="A104" s="10" t="n">
        <v>103</v>
      </c>
      <c r="B104" s="10" t="n"/>
      <c r="C104" s="10" t="n"/>
      <c r="D104" s="10" t="n"/>
      <c r="E104" s="10" t="n"/>
      <c r="F104" s="10" t="n"/>
      <c r="G104" s="10" t="n"/>
      <c r="H104" s="10" t="n"/>
      <c r="I104" s="10" t="n"/>
    </row>
    <row r="105">
      <c r="A105" s="10" t="n">
        <v>104</v>
      </c>
      <c r="B105" s="10" t="n"/>
      <c r="C105" s="10" t="n"/>
      <c r="D105" s="10" t="n"/>
      <c r="E105" s="10" t="n"/>
      <c r="F105" s="10" t="n"/>
      <c r="G105" s="10" t="n"/>
      <c r="H105" s="10" t="n"/>
      <c r="I105" s="10" t="n"/>
    </row>
    <row r="106">
      <c r="A106" s="10" t="n">
        <v>105</v>
      </c>
      <c r="B106" s="10" t="n"/>
      <c r="C106" s="10" t="n"/>
      <c r="D106" s="10" t="n"/>
      <c r="E106" s="10" t="n"/>
      <c r="F106" s="10" t="n"/>
      <c r="G106" s="10" t="n"/>
      <c r="H106" s="10" t="n"/>
      <c r="I106" s="10" t="n"/>
    </row>
    <row r="107">
      <c r="A107" s="10" t="n">
        <v>106</v>
      </c>
      <c r="B107" s="10" t="n"/>
      <c r="C107" s="10" t="n"/>
      <c r="D107" s="10" t="n"/>
      <c r="E107" s="10" t="n"/>
      <c r="F107" s="10" t="n"/>
      <c r="G107" s="10" t="n"/>
      <c r="H107" s="10" t="n"/>
      <c r="I107" s="10" t="n"/>
    </row>
    <row r="108">
      <c r="A108" s="10" t="n">
        <v>107</v>
      </c>
      <c r="B108" s="10" t="n"/>
      <c r="C108" s="10" t="n"/>
      <c r="D108" s="10" t="n"/>
      <c r="E108" s="10" t="n"/>
      <c r="F108" s="10" t="n"/>
      <c r="G108" s="10" t="n"/>
      <c r="H108" s="10" t="n"/>
      <c r="I108" s="10" t="n"/>
    </row>
    <row r="109">
      <c r="A109" s="10" t="n">
        <v>108</v>
      </c>
      <c r="B109" s="10" t="n"/>
      <c r="C109" s="10" t="n"/>
      <c r="D109" s="10" t="n"/>
      <c r="E109" s="10" t="n"/>
      <c r="F109" s="10" t="n"/>
      <c r="G109" s="10" t="n"/>
      <c r="H109" s="10" t="n"/>
      <c r="I109" s="10" t="n"/>
    </row>
    <row r="110">
      <c r="A110" s="10" t="n">
        <v>109</v>
      </c>
      <c r="B110" s="10" t="n"/>
      <c r="C110" s="10" t="n"/>
      <c r="D110" s="10" t="n"/>
      <c r="E110" s="10" t="n"/>
      <c r="F110" s="10" t="n"/>
      <c r="G110" s="10" t="n"/>
      <c r="H110" s="10" t="n"/>
      <c r="I110" s="10" t="n"/>
    </row>
    <row r="111">
      <c r="A111" s="10" t="n">
        <v>110</v>
      </c>
      <c r="B111" s="10" t="n"/>
      <c r="C111" s="10" t="n"/>
      <c r="D111" s="10" t="n"/>
      <c r="E111" s="10" t="n"/>
      <c r="F111" s="10" t="n"/>
      <c r="G111" s="10" t="n"/>
      <c r="H111" s="10" t="n"/>
      <c r="I111" s="10" t="n"/>
    </row>
    <row r="112">
      <c r="A112" s="10" t="n">
        <v>111</v>
      </c>
      <c r="B112" s="10" t="n"/>
      <c r="C112" s="10" t="n"/>
      <c r="D112" s="10" t="n"/>
      <c r="E112" s="10" t="n"/>
      <c r="F112" s="10" t="n"/>
      <c r="G112" s="10" t="n"/>
      <c r="H112" s="10" t="n"/>
      <c r="I112" s="10" t="n"/>
    </row>
    <row r="113">
      <c r="A113" s="10" t="n">
        <v>112</v>
      </c>
      <c r="B113" s="10" t="n"/>
      <c r="C113" s="10" t="n"/>
      <c r="D113" s="10" t="n"/>
      <c r="E113" s="10" t="n"/>
      <c r="F113" s="10" t="n"/>
      <c r="G113" s="10" t="n"/>
      <c r="H113" s="10" t="n"/>
      <c r="I113" s="10" t="n"/>
    </row>
    <row r="114">
      <c r="A114" s="10" t="n">
        <v>113</v>
      </c>
      <c r="B114" s="10" t="n"/>
      <c r="C114" s="10" t="n"/>
      <c r="D114" s="10" t="n"/>
      <c r="E114" s="10" t="n"/>
      <c r="F114" s="10" t="n"/>
      <c r="G114" s="10" t="n"/>
      <c r="H114" s="10" t="n"/>
      <c r="I114" s="10" t="n"/>
    </row>
    <row r="115">
      <c r="A115" s="10" t="n">
        <v>114</v>
      </c>
      <c r="B115" s="10" t="n"/>
      <c r="C115" s="10" t="n"/>
      <c r="D115" s="10" t="n"/>
      <c r="E115" s="10" t="n"/>
      <c r="F115" s="10" t="n"/>
      <c r="G115" s="10" t="n"/>
      <c r="H115" s="10" t="n"/>
      <c r="I115" s="10" t="n"/>
    </row>
    <row r="116">
      <c r="A116" s="10" t="n">
        <v>115</v>
      </c>
      <c r="B116" s="10" t="n"/>
      <c r="C116" s="10" t="n"/>
      <c r="D116" s="10" t="n"/>
      <c r="E116" s="10" t="n"/>
      <c r="F116" s="10" t="n"/>
      <c r="G116" s="10" t="n"/>
      <c r="H116" s="10" t="n"/>
      <c r="I116" s="10" t="n"/>
    </row>
    <row r="117">
      <c r="A117" s="10" t="n">
        <v>116</v>
      </c>
      <c r="B117" s="10" t="n"/>
      <c r="C117" s="10" t="n"/>
      <c r="D117" s="10" t="n"/>
      <c r="E117" s="10" t="n"/>
      <c r="F117" s="10" t="n"/>
      <c r="G117" s="10" t="n"/>
      <c r="H117" s="10" t="n"/>
      <c r="I117" s="10" t="n"/>
    </row>
    <row r="118">
      <c r="A118" s="10" t="n">
        <v>117</v>
      </c>
      <c r="B118" s="10" t="n"/>
      <c r="C118" s="10" t="n"/>
      <c r="D118" s="10" t="n"/>
      <c r="E118" s="10" t="n"/>
      <c r="F118" s="10" t="n"/>
      <c r="G118" s="10" t="n"/>
      <c r="H118" s="10" t="n"/>
      <c r="I118" s="10" t="n"/>
    </row>
    <row r="119">
      <c r="A119" s="10" t="n">
        <v>118</v>
      </c>
      <c r="B119" s="10" t="n"/>
      <c r="C119" s="10" t="n"/>
      <c r="D119" s="10" t="n"/>
      <c r="E119" s="10" t="n"/>
      <c r="F119" s="10" t="n"/>
      <c r="G119" s="10" t="n"/>
      <c r="H119" s="10" t="n"/>
      <c r="I119" s="10" t="n"/>
    </row>
    <row r="120">
      <c r="A120" s="10" t="n">
        <v>119</v>
      </c>
      <c r="B120" s="10" t="n"/>
      <c r="C120" s="10" t="n"/>
      <c r="D120" s="10" t="n"/>
      <c r="E120" s="10" t="n"/>
      <c r="F120" s="10" t="n"/>
      <c r="G120" s="10" t="n"/>
      <c r="H120" s="10" t="n"/>
      <c r="I120" s="10" t="n"/>
    </row>
    <row r="121">
      <c r="A121" s="10" t="n">
        <v>120</v>
      </c>
      <c r="B121" s="10" t="n"/>
      <c r="C121" s="10" t="n"/>
      <c r="D121" s="10" t="n"/>
      <c r="E121" s="10" t="n"/>
      <c r="F121" s="10" t="n"/>
      <c r="G121" s="10" t="n"/>
      <c r="H121" s="10" t="n"/>
      <c r="I121" s="10" t="n"/>
    </row>
    <row r="122">
      <c r="A122" s="10" t="n">
        <v>121</v>
      </c>
      <c r="B122" s="10" t="n"/>
      <c r="C122" s="10" t="n"/>
      <c r="D122" s="10" t="n"/>
      <c r="E122" s="10" t="n"/>
      <c r="F122" s="10" t="n"/>
      <c r="G122" s="10" t="n"/>
      <c r="H122" s="10" t="n"/>
      <c r="I122" s="10" t="n"/>
    </row>
    <row r="123">
      <c r="A123" s="10" t="n">
        <v>122</v>
      </c>
      <c r="B123" s="10" t="n"/>
      <c r="C123" s="10" t="n"/>
      <c r="D123" s="10" t="n"/>
      <c r="E123" s="10" t="n"/>
      <c r="F123" s="10" t="n"/>
      <c r="G123" s="10" t="n"/>
      <c r="H123" s="10" t="n"/>
      <c r="I123" s="10" t="n"/>
    </row>
    <row r="124">
      <c r="A124" s="10" t="n">
        <v>123</v>
      </c>
      <c r="B124" s="10" t="n"/>
      <c r="C124" s="10" t="n"/>
      <c r="D124" s="10" t="n"/>
      <c r="E124" s="10" t="n"/>
      <c r="F124" s="10" t="n"/>
      <c r="G124" s="10" t="n"/>
      <c r="H124" s="10" t="n"/>
      <c r="I124" s="10" t="n"/>
    </row>
    <row r="125">
      <c r="A125" s="10" t="n">
        <v>124</v>
      </c>
      <c r="B125" s="10" t="n"/>
      <c r="C125" s="10" t="n"/>
      <c r="D125" s="10" t="n"/>
      <c r="E125" s="10" t="n"/>
      <c r="F125" s="10" t="n"/>
      <c r="G125" s="10" t="n"/>
      <c r="H125" s="10" t="n"/>
      <c r="I125" s="10" t="n"/>
    </row>
    <row r="126">
      <c r="A126" s="10" t="n">
        <v>125</v>
      </c>
      <c r="B126" s="10" t="n"/>
      <c r="C126" s="10" t="n"/>
      <c r="D126" s="10" t="n"/>
      <c r="E126" s="10" t="n"/>
      <c r="F126" s="10" t="n"/>
      <c r="G126" s="10" t="n"/>
      <c r="H126" s="10" t="n"/>
      <c r="I126" s="10" t="n"/>
    </row>
    <row r="127">
      <c r="A127" s="10" t="n">
        <v>126</v>
      </c>
      <c r="B127" s="10" t="n"/>
      <c r="C127" s="10" t="n"/>
      <c r="D127" s="10" t="n"/>
      <c r="E127" s="10" t="n"/>
      <c r="F127" s="10" t="n"/>
      <c r="G127" s="10" t="n"/>
      <c r="H127" s="10" t="n"/>
      <c r="I127" s="10" t="n"/>
    </row>
    <row r="128">
      <c r="A128" s="10" t="n">
        <v>127</v>
      </c>
      <c r="B128" s="10" t="n"/>
      <c r="C128" s="10" t="n"/>
      <c r="D128" s="10" t="n"/>
      <c r="E128" s="10" t="n"/>
      <c r="F128" s="10" t="n"/>
      <c r="G128" s="10" t="n"/>
      <c r="H128" s="10" t="n"/>
      <c r="I128" s="10" t="n"/>
    </row>
    <row r="129">
      <c r="A129" s="10" t="n">
        <v>128</v>
      </c>
      <c r="B129" s="10" t="n"/>
      <c r="C129" s="10" t="n"/>
      <c r="D129" s="10" t="n"/>
      <c r="E129" s="10" t="n"/>
      <c r="F129" s="10" t="n"/>
      <c r="G129" s="10" t="n"/>
      <c r="H129" s="10" t="n"/>
      <c r="I129" s="10" t="n"/>
    </row>
    <row r="130">
      <c r="A130" s="10" t="n">
        <v>129</v>
      </c>
      <c r="B130" s="10" t="n"/>
      <c r="C130" s="10" t="n"/>
      <c r="D130" s="10" t="n"/>
      <c r="E130" s="10" t="n"/>
      <c r="F130" s="10" t="n"/>
      <c r="G130" s="10" t="n"/>
      <c r="H130" s="10" t="n"/>
      <c r="I130" s="10" t="n"/>
    </row>
    <row r="131">
      <c r="A131" s="10" t="n">
        <v>130</v>
      </c>
      <c r="B131" s="10" t="n"/>
      <c r="C131" s="10" t="n"/>
      <c r="D131" s="10" t="n"/>
      <c r="E131" s="10" t="n"/>
      <c r="F131" s="10" t="n"/>
      <c r="G131" s="10" t="n"/>
      <c r="H131" s="10" t="n"/>
      <c r="I131" s="10" t="n"/>
    </row>
    <row r="132">
      <c r="A132" s="10" t="n">
        <v>131</v>
      </c>
      <c r="B132" s="10" t="n"/>
      <c r="C132" s="10" t="n"/>
      <c r="D132" s="10" t="n"/>
      <c r="E132" s="10" t="n"/>
      <c r="F132" s="10" t="n"/>
      <c r="G132" s="10" t="n"/>
      <c r="H132" s="10" t="n"/>
      <c r="I132" s="10" t="n"/>
    </row>
    <row r="133">
      <c r="A133" s="10" t="n">
        <v>132</v>
      </c>
      <c r="B133" s="10" t="n"/>
      <c r="C133" s="10" t="n"/>
      <c r="D133" s="10" t="n"/>
      <c r="E133" s="10" t="n"/>
      <c r="F133" s="10" t="n"/>
      <c r="G133" s="10" t="n"/>
      <c r="H133" s="10" t="n"/>
      <c r="I133" s="10" t="n"/>
    </row>
    <row r="134">
      <c r="A134" s="10" t="n">
        <v>133</v>
      </c>
      <c r="B134" s="10" t="n"/>
      <c r="C134" s="10" t="n"/>
      <c r="D134" s="10" t="n"/>
      <c r="E134" s="10" t="n"/>
      <c r="F134" s="10" t="n"/>
      <c r="G134" s="10" t="n"/>
      <c r="H134" s="10" t="n"/>
      <c r="I134" s="10" t="n"/>
    </row>
    <row r="135">
      <c r="A135" s="10" t="n">
        <v>134</v>
      </c>
      <c r="B135" s="10" t="n"/>
      <c r="C135" s="10" t="n"/>
      <c r="D135" s="10" t="n"/>
      <c r="E135" s="10" t="n"/>
      <c r="F135" s="10" t="n"/>
      <c r="G135" s="10" t="n"/>
      <c r="H135" s="10" t="n"/>
      <c r="I135" s="10" t="n"/>
    </row>
    <row r="136">
      <c r="A136" s="10" t="n">
        <v>135</v>
      </c>
      <c r="B136" s="10" t="n"/>
      <c r="C136" s="10" t="n"/>
      <c r="D136" s="10" t="n"/>
      <c r="E136" s="10" t="n"/>
      <c r="F136" s="10" t="n"/>
      <c r="G136" s="10" t="n"/>
      <c r="H136" s="10" t="n"/>
      <c r="I136" s="10" t="n"/>
    </row>
    <row r="137">
      <c r="A137" s="10" t="n">
        <v>136</v>
      </c>
      <c r="B137" s="10" t="n"/>
      <c r="C137" s="10" t="n"/>
      <c r="D137" s="10" t="n"/>
      <c r="E137" s="10" t="n"/>
      <c r="F137" s="10" t="n"/>
      <c r="G137" s="10" t="n"/>
      <c r="H137" s="10" t="n"/>
      <c r="I137" s="10" t="n"/>
    </row>
    <row r="138">
      <c r="A138" s="10" t="n">
        <v>137</v>
      </c>
      <c r="B138" s="10" t="n"/>
      <c r="C138" s="10" t="n"/>
      <c r="D138" s="10" t="n"/>
      <c r="E138" s="10" t="n"/>
      <c r="F138" s="10" t="n"/>
      <c r="G138" s="10" t="n"/>
      <c r="H138" s="10" t="n"/>
      <c r="I138" s="10" t="n"/>
    </row>
    <row r="139">
      <c r="A139" s="10" t="n">
        <v>138</v>
      </c>
      <c r="B139" s="10" t="n"/>
      <c r="C139" s="10" t="n"/>
      <c r="D139" s="10" t="n"/>
      <c r="E139" s="10" t="n"/>
      <c r="F139" s="10" t="n"/>
      <c r="G139" s="10" t="n"/>
      <c r="H139" s="10" t="n"/>
      <c r="I139" s="10" t="n"/>
    </row>
    <row r="140">
      <c r="A140" s="10" t="n">
        <v>139</v>
      </c>
      <c r="B140" s="10" t="n"/>
      <c r="C140" s="10" t="n"/>
      <c r="D140" s="10" t="n"/>
      <c r="E140" s="10" t="n"/>
      <c r="F140" s="10" t="n"/>
      <c r="G140" s="10" t="n"/>
      <c r="H140" s="10" t="n"/>
      <c r="I140" s="10" t="n"/>
    </row>
    <row r="141">
      <c r="A141" s="10" t="n">
        <v>140</v>
      </c>
      <c r="B141" s="10" t="n"/>
      <c r="C141" s="10" t="n"/>
      <c r="D141" s="10" t="n"/>
      <c r="E141" s="10" t="n"/>
      <c r="F141" s="10" t="n"/>
      <c r="G141" s="10" t="n"/>
      <c r="H141" s="10" t="n"/>
      <c r="I141" s="10" t="n"/>
    </row>
    <row r="142">
      <c r="A142" s="10" t="n">
        <v>141</v>
      </c>
      <c r="B142" s="10" t="n"/>
      <c r="C142" s="10" t="n"/>
      <c r="D142" s="10" t="n"/>
      <c r="E142" s="10" t="n"/>
      <c r="F142" s="10" t="n"/>
      <c r="G142" s="10" t="n"/>
      <c r="H142" s="10" t="n"/>
      <c r="I142" s="10" t="n"/>
    </row>
    <row r="143">
      <c r="A143" s="10" t="n">
        <v>142</v>
      </c>
      <c r="B143" s="10" t="n"/>
      <c r="C143" s="10" t="n"/>
      <c r="D143" s="10" t="n"/>
      <c r="E143" s="10" t="n"/>
      <c r="F143" s="10" t="n"/>
      <c r="G143" s="10" t="n"/>
      <c r="H143" s="10" t="n"/>
      <c r="I143" s="10" t="n"/>
    </row>
    <row r="144">
      <c r="A144" s="10" t="n">
        <v>143</v>
      </c>
      <c r="B144" s="10" t="n"/>
      <c r="C144" s="10" t="n"/>
      <c r="D144" s="10" t="n"/>
      <c r="E144" s="10" t="n"/>
      <c r="F144" s="10" t="n"/>
      <c r="G144" s="10" t="n"/>
      <c r="H144" s="10" t="n"/>
      <c r="I144" s="10" t="n"/>
    </row>
    <row r="145">
      <c r="A145" s="10" t="n">
        <v>144</v>
      </c>
      <c r="B145" s="10" t="n"/>
      <c r="C145" s="10" t="n"/>
      <c r="D145" s="10" t="n"/>
      <c r="E145" s="10" t="n"/>
      <c r="F145" s="10" t="n"/>
      <c r="G145" s="10" t="n"/>
      <c r="H145" s="10" t="n"/>
      <c r="I145" s="10" t="n"/>
    </row>
    <row r="146">
      <c r="A146" s="10" t="n">
        <v>145</v>
      </c>
      <c r="B146" s="10" t="n"/>
      <c r="C146" s="10" t="n"/>
      <c r="D146" s="10" t="n"/>
      <c r="E146" s="10" t="n"/>
      <c r="F146" s="10" t="n"/>
      <c r="G146" s="10" t="n"/>
      <c r="H146" s="10" t="n"/>
      <c r="I146" s="10" t="n"/>
    </row>
    <row r="147">
      <c r="A147" s="10" t="n">
        <v>146</v>
      </c>
      <c r="B147" s="10" t="n"/>
      <c r="C147" s="10" t="n"/>
      <c r="D147" s="10" t="n"/>
      <c r="E147" s="10" t="n"/>
      <c r="F147" s="10" t="n"/>
      <c r="G147" s="10" t="n"/>
      <c r="H147" s="10" t="n"/>
      <c r="I147" s="10" t="n"/>
    </row>
    <row r="148">
      <c r="A148" s="10" t="n">
        <v>147</v>
      </c>
      <c r="B148" s="10" t="n"/>
      <c r="C148" s="10" t="n"/>
      <c r="D148" s="10" t="n"/>
      <c r="E148" s="10" t="n"/>
      <c r="F148" s="10" t="n"/>
      <c r="G148" s="10" t="n"/>
      <c r="H148" s="10" t="n"/>
      <c r="I148" s="10" t="n"/>
    </row>
    <row r="149">
      <c r="A149" s="10" t="n">
        <v>148</v>
      </c>
      <c r="B149" s="10" t="n"/>
      <c r="C149" s="10" t="n"/>
      <c r="D149" s="10" t="n"/>
      <c r="E149" s="10" t="n"/>
      <c r="F149" s="10" t="n"/>
      <c r="G149" s="10" t="n"/>
      <c r="H149" s="10" t="n"/>
      <c r="I149" s="10" t="n"/>
    </row>
    <row r="150">
      <c r="A150" s="10" t="n">
        <v>149</v>
      </c>
      <c r="B150" s="10" t="n"/>
      <c r="C150" s="10" t="n"/>
      <c r="D150" s="10" t="n"/>
      <c r="E150" s="10" t="n"/>
      <c r="F150" s="10" t="n"/>
      <c r="G150" s="10" t="n"/>
      <c r="H150" s="10" t="n"/>
      <c r="I150" s="10" t="n"/>
    </row>
    <row r="151">
      <c r="A151" s="10" t="n">
        <v>150</v>
      </c>
      <c r="B151" s="10" t="n"/>
      <c r="C151" s="10" t="n"/>
      <c r="D151" s="10" t="n"/>
      <c r="E151" s="10" t="n"/>
      <c r="F151" s="10" t="n"/>
      <c r="G151" s="10" t="n"/>
      <c r="H151" s="10" t="n"/>
      <c r="I151" s="10" t="n"/>
    </row>
    <row r="152">
      <c r="A152" s="10" t="n">
        <v>151</v>
      </c>
      <c r="B152" s="10" t="n"/>
      <c r="C152" s="10" t="n"/>
      <c r="D152" s="10" t="n"/>
      <c r="E152" s="10" t="n"/>
      <c r="F152" s="10" t="n"/>
      <c r="G152" s="10" t="n"/>
      <c r="H152" s="10" t="n"/>
      <c r="I152" s="10" t="n"/>
    </row>
    <row r="153">
      <c r="A153" s="10" t="n">
        <v>152</v>
      </c>
      <c r="B153" s="10" t="n"/>
      <c r="C153" s="10" t="n"/>
      <c r="D153" s="10" t="n"/>
      <c r="E153" s="10" t="n"/>
      <c r="F153" s="10" t="n"/>
      <c r="G153" s="10" t="n"/>
      <c r="H153" s="10" t="n"/>
      <c r="I153" s="10" t="n"/>
    </row>
    <row r="154">
      <c r="A154" s="10" t="n">
        <v>153</v>
      </c>
      <c r="B154" s="10" t="n"/>
      <c r="C154" s="10" t="n"/>
      <c r="D154" s="10" t="n"/>
      <c r="E154" s="10" t="n"/>
      <c r="F154" s="10" t="n"/>
      <c r="G154" s="10" t="n"/>
      <c r="H154" s="10" t="n"/>
      <c r="I154" s="10" t="n"/>
    </row>
    <row r="155">
      <c r="A155" s="10" t="n">
        <v>154</v>
      </c>
      <c r="B155" s="10" t="n"/>
      <c r="C155" s="10" t="n"/>
      <c r="D155" s="10" t="n"/>
      <c r="E155" s="10" t="n"/>
      <c r="F155" s="10" t="n"/>
      <c r="G155" s="10" t="n"/>
      <c r="H155" s="10" t="n"/>
      <c r="I155" s="10" t="n"/>
    </row>
    <row r="156">
      <c r="A156" s="10" t="n">
        <v>155</v>
      </c>
      <c r="B156" s="10" t="n"/>
      <c r="C156" s="10" t="n"/>
      <c r="D156" s="10" t="n"/>
      <c r="E156" s="10" t="n"/>
      <c r="F156" s="10" t="n"/>
      <c r="G156" s="10" t="n"/>
      <c r="H156" s="10" t="n"/>
      <c r="I156" s="10" t="n"/>
    </row>
    <row r="157">
      <c r="A157" s="10" t="n">
        <v>156</v>
      </c>
      <c r="B157" s="10" t="n"/>
      <c r="C157" s="10" t="n"/>
      <c r="D157" s="10" t="n"/>
      <c r="E157" s="10" t="n"/>
      <c r="F157" s="10" t="n"/>
      <c r="G157" s="10" t="n"/>
      <c r="H157" s="10" t="n"/>
      <c r="I157" s="10" t="n"/>
    </row>
    <row r="158">
      <c r="A158" s="10" t="n">
        <v>157</v>
      </c>
      <c r="B158" s="10" t="n"/>
      <c r="C158" s="10" t="n"/>
      <c r="D158" s="10" t="n"/>
      <c r="E158" s="10" t="n"/>
      <c r="F158" s="10" t="n"/>
      <c r="G158" s="10" t="n"/>
      <c r="H158" s="10" t="n"/>
      <c r="I158" s="10" t="n"/>
    </row>
    <row r="159">
      <c r="A159" s="10" t="n">
        <v>158</v>
      </c>
      <c r="B159" s="10" t="n"/>
      <c r="C159" s="10" t="n"/>
      <c r="D159" s="10" t="n"/>
      <c r="E159" s="10" t="n"/>
      <c r="F159" s="10" t="n"/>
      <c r="G159" s="10" t="n"/>
      <c r="H159" s="10" t="n"/>
      <c r="I159" s="10" t="n"/>
    </row>
    <row r="160">
      <c r="A160" s="10" t="n">
        <v>159</v>
      </c>
      <c r="B160" s="10" t="n"/>
      <c r="C160" s="10" t="n"/>
      <c r="D160" s="10" t="n"/>
      <c r="E160" s="10" t="n"/>
      <c r="F160" s="10" t="n"/>
      <c r="G160" s="10" t="n"/>
      <c r="H160" s="10" t="n"/>
      <c r="I160" s="10" t="n"/>
    </row>
    <row r="161">
      <c r="A161" s="10" t="n">
        <v>160</v>
      </c>
      <c r="B161" s="10" t="n"/>
      <c r="C161" s="10" t="n"/>
      <c r="D161" s="10" t="n"/>
      <c r="E161" s="10" t="n"/>
      <c r="F161" s="10" t="n"/>
      <c r="G161" s="10" t="n"/>
      <c r="H161" s="10" t="n"/>
      <c r="I161" s="10" t="n"/>
    </row>
    <row r="162">
      <c r="A162" s="10" t="n">
        <v>161</v>
      </c>
      <c r="B162" s="10" t="n"/>
      <c r="C162" s="10" t="n"/>
      <c r="D162" s="10" t="n"/>
      <c r="E162" s="10" t="n"/>
      <c r="F162" s="10" t="n"/>
      <c r="G162" s="10" t="n"/>
      <c r="H162" s="10" t="n"/>
      <c r="I162" s="10" t="n"/>
    </row>
    <row r="163">
      <c r="A163" s="10" t="n">
        <v>162</v>
      </c>
      <c r="B163" s="10" t="n"/>
      <c r="C163" s="10" t="n"/>
      <c r="D163" s="10" t="n"/>
      <c r="E163" s="10" t="n"/>
      <c r="F163" s="10" t="n"/>
      <c r="G163" s="10" t="n"/>
      <c r="H163" s="10" t="n"/>
      <c r="I163" s="10" t="n"/>
    </row>
    <row r="164">
      <c r="A164" s="10" t="n">
        <v>163</v>
      </c>
      <c r="B164" s="10" t="n"/>
      <c r="C164" s="10" t="n"/>
      <c r="D164" s="10" t="n"/>
      <c r="E164" s="10" t="n"/>
      <c r="F164" s="10" t="n"/>
      <c r="G164" s="10" t="n"/>
      <c r="H164" s="10" t="n"/>
      <c r="I164" s="10" t="n"/>
    </row>
    <row r="165">
      <c r="A165" s="10" t="n">
        <v>164</v>
      </c>
      <c r="B165" s="10" t="n"/>
      <c r="C165" s="10" t="n"/>
      <c r="D165" s="10" t="n"/>
      <c r="E165" s="10" t="n"/>
      <c r="F165" s="10" t="n"/>
      <c r="G165" s="10" t="n"/>
      <c r="H165" s="10" t="n"/>
      <c r="I165" s="10" t="n"/>
    </row>
    <row r="166">
      <c r="A166" s="10" t="n">
        <v>165</v>
      </c>
      <c r="B166" s="10" t="n"/>
      <c r="C166" s="10" t="n"/>
      <c r="D166" s="10" t="n"/>
      <c r="E166" s="10" t="n"/>
      <c r="F166" s="10" t="n"/>
      <c r="G166" s="10" t="n"/>
      <c r="H166" s="10" t="n"/>
      <c r="I166" s="10" t="n"/>
    </row>
    <row r="167">
      <c r="A167" s="10" t="n">
        <v>166</v>
      </c>
      <c r="B167" s="10" t="n"/>
      <c r="C167" s="10" t="n"/>
      <c r="D167" s="10" t="n"/>
      <c r="E167" s="10" t="n"/>
      <c r="F167" s="10" t="n"/>
      <c r="G167" s="10" t="n"/>
      <c r="H167" s="10" t="n"/>
      <c r="I167" s="10" t="n"/>
    </row>
    <row r="168">
      <c r="A168" s="10" t="n">
        <v>167</v>
      </c>
      <c r="B168" s="10" t="n"/>
      <c r="C168" s="10" t="n"/>
      <c r="D168" s="10" t="n"/>
      <c r="E168" s="10" t="n"/>
      <c r="F168" s="10" t="n"/>
      <c r="G168" s="10" t="n"/>
      <c r="H168" s="10" t="n"/>
      <c r="I168" s="10" t="n"/>
    </row>
    <row r="169">
      <c r="A169" s="10" t="n">
        <v>168</v>
      </c>
      <c r="B169" s="10" t="n"/>
      <c r="C169" s="10" t="n"/>
      <c r="D169" s="10" t="n"/>
      <c r="E169" s="10" t="n"/>
      <c r="F169" s="10" t="n"/>
      <c r="G169" s="10" t="n"/>
      <c r="H169" s="10" t="n"/>
      <c r="I169" s="10" t="n"/>
    </row>
    <row r="170">
      <c r="A170" s="10" t="n">
        <v>169</v>
      </c>
      <c r="B170" s="10" t="n"/>
      <c r="C170" s="10" t="n"/>
      <c r="D170" s="10" t="n"/>
      <c r="E170" s="10" t="n"/>
      <c r="F170" s="10" t="n"/>
      <c r="G170" s="10" t="n"/>
      <c r="H170" s="10" t="n"/>
      <c r="I170" s="10" t="n"/>
    </row>
    <row r="171">
      <c r="A171" s="10" t="n">
        <v>170</v>
      </c>
      <c r="B171" s="10" t="n"/>
      <c r="C171" s="10" t="n"/>
      <c r="D171" s="10" t="n"/>
      <c r="E171" s="10" t="n"/>
      <c r="F171" s="10" t="n"/>
      <c r="G171" s="10" t="n"/>
      <c r="H171" s="10" t="n"/>
      <c r="I171" s="10" t="n"/>
    </row>
    <row r="172">
      <c r="A172" s="10" t="n">
        <v>171</v>
      </c>
      <c r="B172" s="10" t="n"/>
      <c r="C172" s="10" t="n"/>
      <c r="D172" s="10" t="n"/>
      <c r="E172" s="10" t="n"/>
      <c r="F172" s="10" t="n"/>
      <c r="G172" s="10" t="n"/>
      <c r="H172" s="10" t="n"/>
      <c r="I172" s="10" t="n"/>
    </row>
    <row r="173">
      <c r="A173" s="10" t="n">
        <v>172</v>
      </c>
      <c r="B173" s="10" t="n"/>
      <c r="C173" s="10" t="n"/>
      <c r="D173" s="10" t="n"/>
      <c r="E173" s="10" t="n"/>
      <c r="F173" s="10" t="n"/>
      <c r="G173" s="10" t="n"/>
      <c r="H173" s="10" t="n"/>
      <c r="I173" s="10" t="n"/>
    </row>
    <row r="174">
      <c r="A174" s="10" t="n">
        <v>173</v>
      </c>
      <c r="B174" s="10" t="n"/>
      <c r="C174" s="10" t="n"/>
      <c r="D174" s="10" t="n"/>
      <c r="E174" s="10" t="n"/>
      <c r="F174" s="10" t="n"/>
      <c r="G174" s="10" t="n"/>
      <c r="H174" s="10" t="n"/>
      <c r="I174" s="10" t="n"/>
    </row>
    <row r="175">
      <c r="A175" s="10" t="n">
        <v>174</v>
      </c>
      <c r="B175" s="10" t="n"/>
      <c r="C175" s="10" t="n"/>
      <c r="D175" s="10" t="n"/>
      <c r="E175" s="10" t="n"/>
      <c r="F175" s="10" t="n"/>
      <c r="G175" s="10" t="n"/>
      <c r="H175" s="10" t="n"/>
      <c r="I175" s="10" t="n"/>
    </row>
    <row r="176">
      <c r="A176" s="10" t="n">
        <v>175</v>
      </c>
      <c r="B176" s="10" t="n"/>
      <c r="C176" s="10" t="n"/>
      <c r="D176" s="10" t="n"/>
      <c r="E176" s="10" t="n"/>
      <c r="F176" s="10" t="n"/>
      <c r="G176" s="10" t="n"/>
      <c r="H176" s="10" t="n"/>
      <c r="I176" s="10" t="n"/>
    </row>
    <row r="177">
      <c r="A177" s="10" t="n">
        <v>176</v>
      </c>
      <c r="B177" s="10" t="n"/>
      <c r="C177" s="10" t="n"/>
      <c r="D177" s="10" t="n"/>
      <c r="E177" s="10" t="n"/>
      <c r="F177" s="10" t="n"/>
      <c r="G177" s="10" t="n"/>
      <c r="H177" s="10" t="n"/>
      <c r="I177" s="10" t="n"/>
    </row>
    <row r="178">
      <c r="A178" s="10" t="n">
        <v>177</v>
      </c>
      <c r="B178" s="10" t="n"/>
      <c r="C178" s="10" t="n"/>
      <c r="D178" s="10" t="n"/>
      <c r="E178" s="10" t="n"/>
      <c r="F178" s="10" t="n"/>
      <c r="G178" s="10" t="n"/>
      <c r="H178" s="10" t="n"/>
      <c r="I178" s="10" t="n"/>
    </row>
    <row r="179">
      <c r="A179" s="10" t="n">
        <v>178</v>
      </c>
      <c r="B179" s="10" t="n"/>
      <c r="C179" s="10" t="n"/>
      <c r="D179" s="10" t="n"/>
      <c r="E179" s="10" t="n"/>
      <c r="F179" s="10" t="n"/>
      <c r="G179" s="10" t="n"/>
      <c r="H179" s="10" t="n"/>
      <c r="I179" s="10" t="n"/>
    </row>
    <row r="180">
      <c r="A180" s="10" t="n">
        <v>179</v>
      </c>
      <c r="B180" s="10" t="n"/>
      <c r="C180" s="10" t="n"/>
      <c r="D180" s="10" t="n"/>
      <c r="E180" s="10" t="n"/>
      <c r="F180" s="10" t="n"/>
      <c r="G180" s="10" t="n"/>
      <c r="H180" s="10" t="n"/>
      <c r="I180" s="10" t="n"/>
    </row>
    <row r="181">
      <c r="A181" s="10" t="n">
        <v>180</v>
      </c>
      <c r="B181" s="10" t="n"/>
      <c r="C181" s="10" t="n"/>
      <c r="D181" s="10" t="n"/>
      <c r="E181" s="10" t="n"/>
      <c r="F181" s="10" t="n"/>
      <c r="G181" s="10" t="n"/>
      <c r="H181" s="10" t="n"/>
      <c r="I181" s="10" t="n"/>
    </row>
    <row r="182">
      <c r="A182" s="10" t="n">
        <v>181</v>
      </c>
      <c r="B182" s="10" t="n"/>
      <c r="C182" s="10" t="n"/>
      <c r="D182" s="10" t="n"/>
      <c r="E182" s="10" t="n"/>
      <c r="F182" s="10" t="n"/>
      <c r="G182" s="10" t="n"/>
      <c r="H182" s="10" t="n"/>
      <c r="I182" s="10" t="n"/>
    </row>
    <row r="183">
      <c r="A183" s="10" t="n">
        <v>182</v>
      </c>
      <c r="B183" s="10" t="n"/>
      <c r="C183" s="10" t="n"/>
      <c r="D183" s="10" t="n"/>
      <c r="E183" s="10" t="n"/>
      <c r="F183" s="10" t="n"/>
      <c r="G183" s="10" t="n"/>
      <c r="H183" s="10" t="n"/>
      <c r="I183" s="10" t="n"/>
    </row>
    <row r="184">
      <c r="A184" s="10" t="n">
        <v>183</v>
      </c>
      <c r="B184" s="10" t="n"/>
      <c r="C184" s="10" t="n"/>
      <c r="D184" s="10" t="n"/>
      <c r="E184" s="10" t="n"/>
      <c r="F184" s="10" t="n"/>
      <c r="G184" s="10" t="n"/>
      <c r="H184" s="10" t="n"/>
      <c r="I184" s="10" t="n"/>
    </row>
    <row r="185">
      <c r="A185" s="10" t="n">
        <v>184</v>
      </c>
      <c r="B185" s="10" t="n"/>
      <c r="C185" s="10" t="n"/>
      <c r="D185" s="10" t="n"/>
      <c r="E185" s="10" t="n"/>
      <c r="F185" s="10" t="n"/>
      <c r="G185" s="10" t="n"/>
      <c r="H185" s="10" t="n"/>
      <c r="I185" s="10" t="n"/>
    </row>
    <row r="186">
      <c r="A186" s="10" t="n">
        <v>185</v>
      </c>
      <c r="B186" s="10" t="n"/>
      <c r="C186" s="10" t="n"/>
      <c r="D186" s="10" t="n"/>
      <c r="E186" s="10" t="n"/>
      <c r="F186" s="10" t="n"/>
      <c r="G186" s="10" t="n"/>
      <c r="H186" s="10" t="n"/>
      <c r="I186" s="10" t="n"/>
    </row>
    <row r="187">
      <c r="A187" s="10" t="n">
        <v>186</v>
      </c>
      <c r="B187" s="10" t="n"/>
      <c r="C187" s="10" t="n"/>
      <c r="D187" s="10" t="n"/>
      <c r="E187" s="10" t="n"/>
      <c r="F187" s="10" t="n"/>
      <c r="G187" s="10" t="n"/>
      <c r="H187" s="10" t="n"/>
      <c r="I187" s="10" t="n"/>
    </row>
    <row r="188">
      <c r="A188" s="10" t="n">
        <v>187</v>
      </c>
      <c r="B188" s="10" t="n"/>
      <c r="C188" s="10" t="n"/>
      <c r="D188" s="10" t="n"/>
      <c r="E188" s="10" t="n"/>
      <c r="F188" s="10" t="n"/>
      <c r="G188" s="10" t="n"/>
      <c r="H188" s="10" t="n"/>
      <c r="I188" s="10" t="n"/>
    </row>
    <row r="189">
      <c r="A189" s="10" t="n">
        <v>188</v>
      </c>
      <c r="B189" s="10" t="n"/>
      <c r="C189" s="10" t="n"/>
      <c r="D189" s="10" t="n"/>
      <c r="E189" s="10" t="n"/>
      <c r="F189" s="10" t="n"/>
      <c r="G189" s="10" t="n"/>
      <c r="H189" s="10" t="n"/>
      <c r="I189" s="10" t="n"/>
    </row>
    <row r="190">
      <c r="A190" s="10" t="n">
        <v>189</v>
      </c>
      <c r="B190" s="10" t="n"/>
      <c r="C190" s="10" t="n"/>
      <c r="D190" s="10" t="n"/>
      <c r="E190" s="10" t="n"/>
      <c r="F190" s="10" t="n"/>
      <c r="G190" s="10" t="n"/>
      <c r="H190" s="10" t="n"/>
      <c r="I190" s="10" t="n"/>
    </row>
    <row r="191">
      <c r="A191" s="10" t="n">
        <v>190</v>
      </c>
      <c r="B191" s="10" t="n"/>
      <c r="C191" s="10" t="n"/>
      <c r="D191" s="10" t="n"/>
      <c r="E191" s="10" t="n"/>
      <c r="F191" s="10" t="n"/>
      <c r="G191" s="10" t="n"/>
      <c r="H191" s="10" t="n"/>
      <c r="I191" s="10" t="n"/>
    </row>
    <row r="192">
      <c r="A192" s="10" t="n">
        <v>191</v>
      </c>
      <c r="B192" s="10" t="n"/>
      <c r="C192" s="10" t="n"/>
      <c r="D192" s="10" t="n"/>
      <c r="E192" s="10" t="n"/>
      <c r="F192" s="10" t="n"/>
      <c r="G192" s="10" t="n"/>
      <c r="H192" s="10" t="n"/>
      <c r="I192" s="10" t="n"/>
    </row>
    <row r="193">
      <c r="A193" s="10" t="n">
        <v>192</v>
      </c>
      <c r="B193" s="10" t="n"/>
      <c r="C193" s="10" t="n"/>
      <c r="D193" s="10" t="n"/>
      <c r="E193" s="10" t="n"/>
      <c r="F193" s="10" t="n"/>
      <c r="G193" s="10" t="n"/>
      <c r="H193" s="10" t="n"/>
      <c r="I193" s="10" t="n"/>
    </row>
    <row r="194">
      <c r="A194" s="10" t="n">
        <v>193</v>
      </c>
      <c r="B194" s="10" t="n"/>
      <c r="C194" s="10" t="n"/>
      <c r="D194" s="10" t="n"/>
      <c r="E194" s="10" t="n"/>
      <c r="F194" s="10" t="n"/>
      <c r="G194" s="10" t="n"/>
      <c r="H194" s="10" t="n"/>
      <c r="I194" s="10" t="n"/>
    </row>
    <row r="195">
      <c r="A195" s="10" t="n">
        <v>194</v>
      </c>
      <c r="B195" s="10" t="n"/>
      <c r="C195" s="10" t="n"/>
      <c r="D195" s="10" t="n"/>
      <c r="E195" s="10" t="n"/>
      <c r="F195" s="10" t="n"/>
      <c r="G195" s="10" t="n"/>
      <c r="H195" s="10" t="n"/>
      <c r="I195" s="10" t="n"/>
    </row>
    <row r="196">
      <c r="A196" s="10" t="n">
        <v>195</v>
      </c>
      <c r="B196" s="10" t="n"/>
      <c r="C196" s="10" t="n"/>
      <c r="D196" s="10" t="n"/>
      <c r="E196" s="10" t="n"/>
      <c r="F196" s="10" t="n"/>
      <c r="G196" s="10" t="n"/>
      <c r="H196" s="10" t="n"/>
      <c r="I196" s="10" t="n"/>
    </row>
    <row r="197">
      <c r="A197" s="10" t="n">
        <v>196</v>
      </c>
      <c r="B197" s="10" t="n"/>
      <c r="C197" s="10" t="n"/>
      <c r="D197" s="10" t="n"/>
      <c r="E197" s="10" t="n"/>
      <c r="F197" s="10" t="n"/>
      <c r="G197" s="10" t="n"/>
      <c r="H197" s="10" t="n"/>
      <c r="I197" s="10" t="n"/>
    </row>
    <row r="198">
      <c r="A198" s="10" t="n">
        <v>197</v>
      </c>
      <c r="B198" s="10" t="n"/>
      <c r="C198" s="10" t="n"/>
      <c r="D198" s="10" t="n"/>
      <c r="E198" s="10" t="n"/>
      <c r="F198" s="10" t="n"/>
      <c r="G198" s="10" t="n"/>
      <c r="H198" s="10" t="n"/>
      <c r="I198" s="10" t="n"/>
    </row>
    <row r="199">
      <c r="A199" s="10" t="n">
        <v>198</v>
      </c>
      <c r="B199" s="10" t="n"/>
      <c r="C199" s="10" t="n"/>
      <c r="D199" s="10" t="n"/>
      <c r="E199" s="10" t="n"/>
      <c r="F199" s="10" t="n"/>
      <c r="G199" s="10" t="n"/>
      <c r="H199" s="10" t="n"/>
      <c r="I199" s="10" t="n"/>
    </row>
    <row r="200">
      <c r="A200" s="10" t="n">
        <v>199</v>
      </c>
      <c r="B200" s="10" t="n"/>
      <c r="C200" s="10" t="n"/>
      <c r="D200" s="10" t="n"/>
      <c r="E200" s="10" t="n"/>
      <c r="F200" s="10" t="n"/>
      <c r="G200" s="10" t="n"/>
      <c r="H200" s="10" t="n"/>
      <c r="I200" s="10" t="n"/>
    </row>
  </sheetData>
  <dataValidations count="2">
    <dataValidation sqref="C2:C200" showDropDown="0" showInputMessage="0" showErrorMessage="0" allowBlank="1" type="list">
      <formula1>"Blocker,Major,Minor,Cosmetic"</formula1>
    </dataValidation>
    <dataValidation sqref="H2:H200" showDropDown="0" showInputMessage="0" showErrorMessage="0" allowBlank="1" type="list">
      <formula1>"Open,Fixed,Retested OK,Deferred,Rejected"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2026-10-13T23:30:39Z</dcterms:created>
  <dcterms:modified xsi:type="dcterms:W3CDTF">2026-10-13T23:30:39Z</dcterms:modified>
</cp:coreProperties>
</file>